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 free work\01 Data Analysis Training Camp\Course Materials\WEEK3\"/>
    </mc:Choice>
  </mc:AlternateContent>
  <bookViews>
    <workbookView xWindow="-120" yWindow="-120" windowWidth="20736" windowHeight="11160" activeTab="1"/>
  </bookViews>
  <sheets>
    <sheet name="Inventory Transfer" sheetId="15" r:id="rId1"/>
    <sheet name="Inventory Turnover" sheetId="43" r:id="rId2"/>
    <sheet name="Product SKU Data" sheetId="44" r:id="rId3"/>
    <sheet name="People, Product &amp; Store Method" sheetId="21" r:id="rId4"/>
  </sheet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21" l="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50" i="21"/>
  <c r="K4" i="21"/>
  <c r="J4" i="21"/>
  <c r="F4" i="21"/>
  <c r="E4" i="21"/>
  <c r="G20" i="21"/>
  <c r="D20" i="21"/>
  <c r="K14" i="21"/>
  <c r="J14" i="21"/>
  <c r="F14" i="21"/>
  <c r="E14" i="21"/>
  <c r="N4" i="21"/>
  <c r="E8" i="21"/>
  <c r="H20" i="21"/>
  <c r="L4" i="21"/>
  <c r="L14" i="21" l="1"/>
  <c r="N1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</calcChain>
</file>

<file path=xl/sharedStrings.xml><?xml version="1.0" encoding="utf-8"?>
<sst xmlns="http://schemas.openxmlformats.org/spreadsheetml/2006/main" count="527" uniqueCount="128">
  <si>
    <t>Before Inventory Transfer:</t>
    <phoneticPr fontId="19" type="noConversion"/>
  </si>
  <si>
    <t>Physical Store</t>
  </si>
  <si>
    <t>Inventory Size Details</t>
  </si>
  <si>
    <t>Total</t>
  </si>
  <si>
    <t>Physical Store A</t>
  </si>
  <si>
    <t>Physical Store B</t>
  </si>
  <si>
    <t>After Inventory Transfer:</t>
    <phoneticPr fontId="19" type="noConversion"/>
  </si>
  <si>
    <t>Quantity</t>
  </si>
  <si>
    <t>Discount</t>
  </si>
  <si>
    <t>Settlement Amount</t>
  </si>
  <si>
    <t>Standard Amount</t>
  </si>
  <si>
    <t>Unit Price</t>
  </si>
  <si>
    <t>Overall Sales Performance:</t>
    <phoneticPr fontId="19" type="noConversion"/>
  </si>
  <si>
    <t>Store</t>
  </si>
  <si>
    <t>Same Period Last Year</t>
  </si>
  <si>
    <t>Year-over-Year Growth</t>
  </si>
  <si>
    <t>Number of Transactions</t>
  </si>
  <si>
    <t>Customer Units per Transaction</t>
  </si>
  <si>
    <t>Average Transaction Value</t>
  </si>
  <si>
    <t>2. People: VIP Spending Share</t>
    <phoneticPr fontId="19" type="noConversion"/>
  </si>
  <si>
    <t>VIP Settlement Amount</t>
  </si>
  <si>
    <t>VIP Settlement Amount Share</t>
  </si>
  <si>
    <t>3. Product: Fast- and Slow-Moving Product Distribution</t>
    <phoneticPr fontId="19" type="noConversion"/>
  </si>
  <si>
    <t>Product No.</t>
    <phoneticPr fontId="22" type="noConversion"/>
  </si>
  <si>
    <t>Remarks</t>
    <phoneticPr fontId="22" type="noConversion"/>
  </si>
  <si>
    <t>Best Seller 1</t>
    <phoneticPr fontId="22" type="noConversion"/>
  </si>
  <si>
    <t>Sufficient Inventory</t>
    <phoneticPr fontId="22" type="noConversion"/>
  </si>
  <si>
    <t>Best Seller 2</t>
    <phoneticPr fontId="22" type="noConversion"/>
  </si>
  <si>
    <t>Best Seller 3</t>
  </si>
  <si>
    <t>Best Seller 4</t>
  </si>
  <si>
    <t>Best Seller 5</t>
  </si>
  <si>
    <t>Best Seller 6</t>
  </si>
  <si>
    <t>Best Seller 7</t>
  </si>
  <si>
    <t>Best Seller 8</t>
  </si>
  <si>
    <t>Best Seller 9</t>
  </si>
  <si>
    <t>No Allocation</t>
    <phoneticPr fontId="22" type="noConversion"/>
  </si>
  <si>
    <t>Best Seller 10</t>
  </si>
  <si>
    <t>Best Seller 11</t>
  </si>
  <si>
    <t>Incomplete Size Range</t>
    <phoneticPr fontId="22" type="noConversion"/>
  </si>
  <si>
    <t>Best Seller 12</t>
  </si>
  <si>
    <t>Best Seller 13</t>
  </si>
  <si>
    <t>Best Seller 14</t>
  </si>
  <si>
    <t>Best Seller 15</t>
  </si>
  <si>
    <t>Best Seller 16</t>
  </si>
  <si>
    <t>Best Seller 17</t>
  </si>
  <si>
    <t>Best Seller 18</t>
  </si>
  <si>
    <t>Best Seller 19</t>
  </si>
  <si>
    <t>Best Seller 20</t>
  </si>
  <si>
    <t>Physical Store C</t>
    <phoneticPr fontId="19" type="noConversion"/>
  </si>
  <si>
    <t>Dairy Industry</t>
    <phoneticPr fontId="19" type="noConversion"/>
  </si>
  <si>
    <t>Yili Co., Ltd.</t>
    <phoneticPr fontId="19" type="noConversion"/>
  </si>
  <si>
    <t>Bright Dairy &amp; Food</t>
    <phoneticPr fontId="19" type="noConversion"/>
  </si>
  <si>
    <t>Tianrun Dairy</t>
    <phoneticPr fontId="19" type="noConversion"/>
  </si>
  <si>
    <t>Inventory Balance (RMB 100m)</t>
    <phoneticPr fontId="19" type="noConversion"/>
  </si>
  <si>
    <t>Inventory Turnover Ratio</t>
    <phoneticPr fontId="19" type="noConversion"/>
  </si>
  <si>
    <t>Beer Industry</t>
    <phoneticPr fontId="19" type="noConversion"/>
  </si>
  <si>
    <t>Tsingtao Brewery</t>
    <phoneticPr fontId="19" type="noConversion"/>
  </si>
  <si>
    <t>Zhujiang Beer</t>
    <phoneticPr fontId="19" type="noConversion"/>
  </si>
  <si>
    <t>Chongqing Brewery</t>
    <phoneticPr fontId="19" type="noConversion"/>
  </si>
  <si>
    <t>Huiquan Brewery</t>
    <phoneticPr fontId="19" type="noConversion"/>
  </si>
  <si>
    <t>Yanjing Brewery</t>
    <phoneticPr fontId="19" type="noConversion"/>
  </si>
  <si>
    <t>Inventory Turnover Ratio</t>
    <phoneticPr fontId="19" type="noConversion"/>
  </si>
  <si>
    <t>Baijiu</t>
    <phoneticPr fontId="19" type="noConversion"/>
  </si>
  <si>
    <t>Luzhou Laojiao</t>
    <phoneticPr fontId="19" type="noConversion"/>
  </si>
  <si>
    <t>Wuliangye</t>
    <phoneticPr fontId="19" type="noConversion"/>
  </si>
  <si>
    <t>Yanghe Brewery</t>
    <phoneticPr fontId="19" type="noConversion"/>
  </si>
  <si>
    <t>Shuijingfang</t>
    <phoneticPr fontId="19" type="noConversion"/>
  </si>
  <si>
    <t>Jiugui Liquor</t>
    <phoneticPr fontId="19" type="noConversion"/>
  </si>
  <si>
    <t>Kweichow Moutai</t>
    <phoneticPr fontId="19" type="noConversion"/>
  </si>
  <si>
    <t>Product Name</t>
    <phoneticPr fontId="19" type="noConversion"/>
  </si>
  <si>
    <t>Color</t>
    <phoneticPr fontId="19" type="noConversion"/>
  </si>
  <si>
    <t>iphone6</t>
  </si>
  <si>
    <t>iphone6</t>
    <phoneticPr fontId="19" type="noConversion"/>
  </si>
  <si>
    <t>Capacity</t>
    <phoneticPr fontId="19" type="noConversion"/>
  </si>
  <si>
    <t>Network Type</t>
    <phoneticPr fontId="19" type="noConversion"/>
  </si>
  <si>
    <t>Contract</t>
    <phoneticPr fontId="19" type="noConversion"/>
  </si>
  <si>
    <t>Black</t>
    <phoneticPr fontId="19" type="noConversion"/>
  </si>
  <si>
    <t>16G</t>
    <phoneticPr fontId="19" type="noConversion"/>
  </si>
  <si>
    <t>China Mobile Version</t>
    <phoneticPr fontId="19" type="noConversion"/>
  </si>
  <si>
    <t>Contract Phone</t>
    <phoneticPr fontId="19" type="noConversion"/>
  </si>
  <si>
    <t>No.</t>
    <phoneticPr fontId="19" type="noConversion"/>
  </si>
  <si>
    <t>White</t>
  </si>
  <si>
    <t>Gold</t>
  </si>
  <si>
    <t>128G</t>
    <phoneticPr fontId="19" type="noConversion"/>
  </si>
  <si>
    <t>Non-Contract Phone</t>
    <phoneticPr fontId="19" type="noConversion"/>
  </si>
  <si>
    <t>China Unicom Version</t>
    <phoneticPr fontId="19" type="noConversion"/>
  </si>
  <si>
    <t>China Telecom Version</t>
    <phoneticPr fontId="19" type="noConversion"/>
  </si>
  <si>
    <t>32G</t>
    <phoneticPr fontId="19" type="noConversion"/>
  </si>
  <si>
    <t>64G</t>
    <phoneticPr fontId="19" type="noConversion"/>
  </si>
  <si>
    <t>2. People: Customer Units per Transaction &amp; Average Transaction Value</t>
    <phoneticPr fontId="19" type="noConversion"/>
  </si>
  <si>
    <t>Physical Store</t>
    <phoneticPr fontId="19" type="noConversion"/>
  </si>
  <si>
    <t>Budgeted Headcount</t>
    <phoneticPr fontId="19" type="noConversion"/>
  </si>
  <si>
    <t>Current Headcount</t>
    <phoneticPr fontId="19" type="noConversion"/>
  </si>
  <si>
    <t>New-Hire Count</t>
    <phoneticPr fontId="19" type="noConversion"/>
  </si>
  <si>
    <t>Note: employees with under 3 months of tenure are all new hires</t>
    <phoneticPr fontId="19" type="noConversion"/>
  </si>
  <si>
    <t>New-Hire Share</t>
    <phoneticPr fontId="19" type="noConversion"/>
  </si>
  <si>
    <t xml:space="preserve"> Store A</t>
    <phoneticPr fontId="19" type="noConversion"/>
  </si>
  <si>
    <t>This Month's KPI Completion</t>
    <phoneticPr fontId="19" type="noConversion"/>
  </si>
  <si>
    <t>1. People: Share of New and Existing Employees</t>
    <phoneticPr fontId="19" type="noConversion"/>
  </si>
  <si>
    <t>This Month</t>
    <phoneticPr fontId="19" type="noConversion"/>
  </si>
  <si>
    <t>VIP Settlement Amount</t>
    <phoneticPr fontId="19" type="noConversion"/>
  </si>
  <si>
    <t>Total Settlement Amount</t>
    <phoneticPr fontId="19" type="noConversion"/>
  </si>
  <si>
    <t>VIP Settlement Amount Share</t>
    <phoneticPr fontId="19" type="noConversion"/>
  </si>
  <si>
    <t>Total Settlement Amount</t>
    <phoneticPr fontId="19" type="noConversion"/>
  </si>
  <si>
    <t>This Month</t>
    <phoneticPr fontId="19" type="noConversion"/>
  </si>
  <si>
    <t>Slow Mover 1</t>
  </si>
  <si>
    <t>Slow Mover 2</t>
  </si>
  <si>
    <t>Slow Mover 3</t>
  </si>
  <si>
    <t>Slow Mover 4</t>
  </si>
  <si>
    <t>Slow Mover 5</t>
  </si>
  <si>
    <t>Slow Mover 6</t>
  </si>
  <si>
    <t>Slow Mover 7</t>
  </si>
  <si>
    <t>Slow Mover 8</t>
  </si>
  <si>
    <t>Slow Mover 9</t>
  </si>
  <si>
    <t>Slow Mover 10</t>
  </si>
  <si>
    <t>Slow Mover 11</t>
  </si>
  <si>
    <t>Slow Mover 12</t>
  </si>
  <si>
    <t>Slow Mover 13</t>
  </si>
  <si>
    <t>Slow Mover 14</t>
  </si>
  <si>
    <t>Slow Mover 15</t>
  </si>
  <si>
    <t>Slow Mover 16</t>
  </si>
  <si>
    <t>Slow Mover 17</t>
  </si>
  <si>
    <t>Slow Mover 18</t>
  </si>
  <si>
    <t>Slow Mover 19</t>
  </si>
  <si>
    <t>Slow Mover 20</t>
  </si>
  <si>
    <t>Quantity Sold</t>
    <phoneticPr fontId="19" type="noConversion"/>
  </si>
  <si>
    <t>Current Inventory</t>
    <phoneticPr fontId="19" type="noConversion"/>
  </si>
  <si>
    <t>Inventory-to-Sales Ratio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</si>
</sst>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3">
    <font>
      <sz val="12"/>
      <color theme="1"/>
      <name val="DengXian"/>
      <family val="2"/>
      <charset val="134"/>
      <scheme val="minor"/>
    </font>
    <font>
      <sz val="11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2"/>
      <color rgb="FF006100"/>
      <name val="DengXian"/>
      <family val="2"/>
      <charset val="134"/>
      <scheme val="minor"/>
    </font>
    <font>
      <sz val="12"/>
      <color rgb="FF9C0006"/>
      <name val="DengXian"/>
      <family val="2"/>
      <charset val="134"/>
      <scheme val="minor"/>
    </font>
    <font>
      <sz val="12"/>
      <color rgb="FF9C5700"/>
      <name val="DengXian"/>
      <family val="2"/>
      <charset val="134"/>
      <scheme val="minor"/>
    </font>
    <font>
      <sz val="12"/>
      <color rgb="FF3F3F76"/>
      <name val="DengXian"/>
      <family val="2"/>
      <charset val="134"/>
      <scheme val="minor"/>
    </font>
    <font>
      <b/>
      <sz val="12"/>
      <color rgb="FF3F3F3F"/>
      <name val="DengXian"/>
      <family val="2"/>
      <charset val="134"/>
      <scheme val="minor"/>
    </font>
    <font>
      <b/>
      <sz val="12"/>
      <color rgb="FFFA7D00"/>
      <name val="DengXian"/>
      <family val="2"/>
      <charset val="134"/>
      <scheme val="minor"/>
    </font>
    <font>
      <sz val="12"/>
      <color rgb="FFFA7D00"/>
      <name val="DengXian"/>
      <family val="2"/>
      <charset val="134"/>
      <scheme val="minor"/>
    </font>
    <font>
      <b/>
      <sz val="12"/>
      <color theme="0"/>
      <name val="DengXian"/>
      <family val="2"/>
      <charset val="134"/>
      <scheme val="minor"/>
    </font>
    <font>
      <sz val="12"/>
      <color rgb="FFFF0000"/>
      <name val="DengXian"/>
      <family val="2"/>
      <charset val="134"/>
      <scheme val="minor"/>
    </font>
    <font>
      <i/>
      <sz val="12"/>
      <color rgb="FF7F7F7F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12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indexed="8"/>
      <name val="Helvetica Neue"/>
      <family val="2"/>
    </font>
    <font>
      <sz val="12"/>
      <color theme="1"/>
      <name val="DengXian"/>
      <family val="3"/>
      <charset val="134"/>
      <scheme val="minor"/>
    </font>
    <font>
      <sz val="9"/>
      <name val="DengXian"/>
      <family val="3"/>
      <charset val="134"/>
      <scheme val="minor"/>
    </font>
    <font>
      <sz val="11"/>
      <color rgb="FF000000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u/>
      <sz val="12"/>
      <color theme="10"/>
      <name val="DengXian"/>
      <family val="2"/>
      <charset val="134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11"/>
      <name val="Microsoft YaHei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0" borderId="0" applyNumberFormat="0" applyFill="0" applyBorder="0" applyProtection="0">
      <alignment vertical="top" wrapText="1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10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33" borderId="10" xfId="0" applyFont="1" applyFill="1" applyBorder="1" applyAlignment="1">
      <alignment horizontal="center" vertical="center"/>
    </xf>
    <xf numFmtId="9" fontId="31" fillId="0" borderId="10" xfId="0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9" fontId="29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9" fontId="28" fillId="0" borderId="10" xfId="0" applyNumberFormat="1" applyFont="1" applyBorder="1" applyAlignment="1">
      <alignment horizontal="center" vertical="center"/>
    </xf>
    <xf numFmtId="9" fontId="31" fillId="0" borderId="10" xfId="0" applyNumberFormat="1" applyFont="1" applyBorder="1" applyAlignment="1">
      <alignment horizontal="center" vertical="center"/>
    </xf>
    <xf numFmtId="176" fontId="32" fillId="0" borderId="10" xfId="0" applyNumberFormat="1" applyFont="1" applyBorder="1" applyAlignment="1">
      <alignment horizontal="center" vertical="center"/>
    </xf>
    <xf numFmtId="1" fontId="32" fillId="0" borderId="10" xfId="0" applyNumberFormat="1" applyFont="1" applyBorder="1" applyAlignment="1">
      <alignment horizontal="center" vertical="center"/>
    </xf>
    <xf numFmtId="0" fontId="30" fillId="34" borderId="10" xfId="0" applyFont="1" applyFill="1" applyBorder="1" applyAlignment="1">
      <alignment horizontal="center" vertical="center"/>
    </xf>
    <xf numFmtId="0" fontId="30" fillId="35" borderId="10" xfId="0" applyFont="1" applyFill="1" applyBorder="1" applyAlignment="1">
      <alignment horizontal="center" vertical="center"/>
    </xf>
    <xf numFmtId="0" fontId="29" fillId="33" borderId="10" xfId="0" applyFont="1" applyFill="1" applyBorder="1" applyAlignment="1">
      <alignment horizontal="center" vertical="center" wrapText="1"/>
    </xf>
    <xf numFmtId="0" fontId="29" fillId="35" borderId="10" xfId="0" applyFont="1" applyFill="1" applyBorder="1" applyAlignment="1">
      <alignment horizontal="center" vertical="center"/>
    </xf>
    <xf numFmtId="0" fontId="29" fillId="34" borderId="10" xfId="0" applyFont="1" applyFill="1" applyBorder="1" applyAlignment="1">
      <alignment horizontal="center" vertical="center" wrapText="1"/>
    </xf>
    <xf numFmtId="0" fontId="2" fillId="15" borderId="10" xfId="24" applyBorder="1" applyAlignment="1">
      <alignment horizontal="center" vertical="center"/>
    </xf>
    <xf numFmtId="0" fontId="2" fillId="32" borderId="10" xfId="41" applyBorder="1" applyAlignment="1">
      <alignment horizontal="center" vertical="center"/>
    </xf>
    <xf numFmtId="0" fontId="29" fillId="33" borderId="10" xfId="0" applyFont="1" applyFill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0" fontId="2" fillId="20" borderId="10" xfId="29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33" borderId="13" xfId="0" applyFont="1" applyFill="1" applyBorder="1" applyAlignment="1">
      <alignment horizontal="center" vertical="center"/>
    </xf>
    <xf numFmtId="0" fontId="29" fillId="33" borderId="14" xfId="0" applyFont="1" applyFill="1" applyBorder="1" applyAlignment="1">
      <alignment horizontal="center" vertical="center"/>
    </xf>
    <xf numFmtId="0" fontId="29" fillId="34" borderId="11" xfId="0" applyFont="1" applyFill="1" applyBorder="1" applyAlignment="1">
      <alignment horizontal="center" vertical="center"/>
    </xf>
    <xf numFmtId="0" fontId="29" fillId="34" borderId="15" xfId="0" applyFont="1" applyFill="1" applyBorder="1" applyAlignment="1">
      <alignment horizontal="center" vertical="center"/>
    </xf>
    <xf numFmtId="0" fontId="29" fillId="34" borderId="12" xfId="0" applyFont="1" applyFill="1" applyBorder="1" applyAlignment="1">
      <alignment horizontal="center" vertical="center"/>
    </xf>
    <xf numFmtId="0" fontId="29" fillId="33" borderId="11" xfId="0" applyFont="1" applyFill="1" applyBorder="1" applyAlignment="1">
      <alignment horizontal="center" vertical="center"/>
    </xf>
    <xf numFmtId="0" fontId="29" fillId="33" borderId="15" xfId="0" applyFont="1" applyFill="1" applyBorder="1" applyAlignment="1">
      <alignment horizontal="center" vertical="center"/>
    </xf>
    <xf numFmtId="0" fontId="29" fillId="33" borderId="12" xfId="0" applyFont="1" applyFill="1" applyBorder="1" applyAlignment="1">
      <alignment horizontal="center" vertical="center"/>
    </xf>
    <xf numFmtId="0" fontId="30" fillId="33" borderId="13" xfId="0" applyFont="1" applyFill="1" applyBorder="1" applyAlignment="1">
      <alignment horizontal="center" vertical="center"/>
    </xf>
    <xf numFmtId="0" fontId="30" fillId="33" borderId="14" xfId="0" applyFont="1" applyFill="1" applyBorder="1" applyAlignment="1">
      <alignment horizontal="center" vertical="center"/>
    </xf>
    <xf numFmtId="0" fontId="30" fillId="34" borderId="11" xfId="0" applyFont="1" applyFill="1" applyBorder="1" applyAlignment="1">
      <alignment horizontal="center" vertical="center"/>
    </xf>
    <xf numFmtId="0" fontId="30" fillId="34" borderId="15" xfId="0" applyFont="1" applyFill="1" applyBorder="1" applyAlignment="1">
      <alignment horizontal="center" vertical="center"/>
    </xf>
    <xf numFmtId="0" fontId="30" fillId="34" borderId="12" xfId="0" applyFont="1" applyFill="1" applyBorder="1" applyAlignment="1">
      <alignment horizontal="center" vertical="center"/>
    </xf>
    <xf numFmtId="0" fontId="30" fillId="33" borderId="11" xfId="0" applyFont="1" applyFill="1" applyBorder="1" applyAlignment="1">
      <alignment horizontal="center" vertical="center"/>
    </xf>
    <xf numFmtId="0" fontId="30" fillId="33" borderId="15" xfId="0" applyFont="1" applyFill="1" applyBorder="1" applyAlignment="1">
      <alignment horizontal="center" vertical="center"/>
    </xf>
    <xf numFmtId="0" fontId="30" fillId="33" borderId="12" xfId="0" applyFont="1" applyFill="1" applyBorder="1" applyAlignment="1">
      <alignment horizontal="center" vertical="center"/>
    </xf>
    <xf numFmtId="0" fontId="30" fillId="35" borderId="11" xfId="0" applyFont="1" applyFill="1" applyBorder="1" applyAlignment="1">
      <alignment horizontal="center" vertical="center"/>
    </xf>
    <xf numFmtId="0" fontId="30" fillId="35" borderId="15" xfId="0" applyFont="1" applyFill="1" applyBorder="1" applyAlignment="1">
      <alignment horizontal="center" vertical="center"/>
    </xf>
    <xf numFmtId="0" fontId="30" fillId="35" borderId="12" xfId="0" applyFont="1" applyFill="1" applyBorder="1" applyAlignment="1">
      <alignment horizontal="center" vertical="center"/>
    </xf>
  </cellXfs>
  <cellStyles count="48">
    <cellStyle name="20% - Accent 1" xfId="19" builtinId="30" customBuiltin="1"/>
    <cellStyle name="20% - Accent 2" xfId="23" builtinId="34" customBuiltin="1"/>
    <cellStyle name="20% - Accent 3" xfId="27" builtinId="38" customBuiltin="1"/>
    <cellStyle name="20% - Accent 4" xfId="31" builtinId="42" customBuiltin="1"/>
    <cellStyle name="20% - Accent 5" xfId="35" builtinId="46" customBuiltin="1"/>
    <cellStyle name="20% - Accent 6" xfId="39" builtinId="50" customBuiltin="1"/>
    <cellStyle name="40% - Accent 1" xfId="20" builtinId="31" customBuiltin="1"/>
    <cellStyle name="40% - Accent 2" xfId="24" builtinId="35" customBuiltin="1"/>
    <cellStyle name="40% - Accent 3" xfId="28" builtinId="39" customBuiltin="1"/>
    <cellStyle name="40% - Accent 4" xfId="32" builtinId="43" customBuiltin="1"/>
    <cellStyle name="40% - Accent 5" xfId="36" builtinId="47" customBuiltin="1"/>
    <cellStyle name="40% - Accent 6" xfId="40" builtinId="51" customBuiltin="1"/>
    <cellStyle name="60% - Accent 1" xfId="21" builtinId="32" customBuiltin="1"/>
    <cellStyle name="60% - Accent 2" xfId="25" builtinId="36" customBuiltin="1"/>
    <cellStyle name="60% - Accent 3" xfId="29" builtinId="40" customBuiltin="1"/>
    <cellStyle name="60% - Accent 4" xfId="33" builtinId="44" customBuiltin="1"/>
    <cellStyle name="60% - Accent 5" xfId="37" builtinId="48" customBuiltin="1"/>
    <cellStyle name="60% - Accent 6" xfId="41" builtinId="52" customBuiltin="1"/>
    <cellStyle name="Hyperlink" xfId="46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Bad" xfId="7" builtinId="27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7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 1" xfId="18" builtinId="29" customBuiltin="1"/>
    <cellStyle name="Accent 2" xfId="22" builtinId="33" customBuiltin="1"/>
    <cellStyle name="Accent 3" xfId="26" builtinId="37" customBuiltin="1"/>
    <cellStyle name="Accent 4" xfId="30" builtinId="41" customBuiltin="1"/>
    <cellStyle name="Accent 5" xfId="34" builtinId="45" customBuiltin="1"/>
    <cellStyle name="Accent 6" xfId="38" builtinId="49" customBuiltin="1"/>
    <cellStyle name="Note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/>
              <a:t>Year-End Inventory Balance and Inventory Turnover by Company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898285441592528"/>
          <c:w val="0.86683814523184599"/>
          <c:h val="0.62667348399631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Turnover'!$C$2</c:f>
              <c:strCache>
                <c:ptCount val="1"/>
                <c:pt idx="0">
                  <c:v>Inventory Balance (RMB 100m)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Turnover'!$B$3:$B$5</c:f>
              <c:strCache>
                <c:ptCount val="3"/>
                <c:pt idx="0">
                  <c:v>Yili Co., Ltd.</c:v>
                </c:pt>
                <c:pt idx="1">
                  <c:v>Bright Dairy &amp; Food</c:v>
                </c:pt>
                <c:pt idx="2">
                  <c:v>Tianrun Dairy</c:v>
                </c:pt>
              </c:strCache>
            </c:strRef>
          </c:cat>
          <c:val>
            <c:numRef>
              <c:f>'Inventory Turnover'!$C$3:$C$5</c:f>
              <c:numCache>
                <c:formatCode>General</c:formatCode>
                <c:ptCount val="3"/>
                <c:pt idx="0">
                  <c:v>55.07</c:v>
                </c:pt>
                <c:pt idx="1">
                  <c:v>20.329999999999998</c:v>
                </c:pt>
                <c:pt idx="2">
                  <c:v>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7-4FB5-A523-A97B05BFD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387376"/>
        <c:axId val="1229388208"/>
      </c:barChart>
      <c:lineChart>
        <c:grouping val="standard"/>
        <c:varyColors val="0"/>
        <c:ser>
          <c:idx val="1"/>
          <c:order val="1"/>
          <c:tx>
            <c:strRef>
              <c:f>'Inventory Turnover'!$D$2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Turnover'!$B$3:$B$5</c:f>
              <c:strCache>
                <c:ptCount val="3"/>
                <c:pt idx="0">
                  <c:v>Yili Co., Ltd.</c:v>
                </c:pt>
                <c:pt idx="1">
                  <c:v>Bright Dairy &amp; Food</c:v>
                </c:pt>
                <c:pt idx="2">
                  <c:v>Tianrun Dairy</c:v>
                </c:pt>
              </c:strCache>
            </c:strRef>
          </c:cat>
          <c:val>
            <c:numRef>
              <c:f>'Inventory Turnover'!$D$3:$D$5</c:f>
              <c:numCache>
                <c:formatCode>General</c:formatCode>
                <c:ptCount val="3"/>
                <c:pt idx="0">
                  <c:v>9.68</c:v>
                </c:pt>
                <c:pt idx="1">
                  <c:v>7.31</c:v>
                </c:pt>
                <c:pt idx="2">
                  <c:v>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7-4FB5-A523-A97B05BFD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116448"/>
        <c:axId val="996128512"/>
      </c:lineChart>
      <c:catAx>
        <c:axId val="12293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8208"/>
        <c:crosses val="autoZero"/>
        <c:auto val="1"/>
        <c:lblAlgn val="ctr"/>
        <c:lblOffset val="100"/>
        <c:noMultiLvlLbl val="0"/>
      </c:catAx>
      <c:valAx>
        <c:axId val="1229388208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7376"/>
        <c:crosses val="autoZero"/>
        <c:crossBetween val="between"/>
      </c:valAx>
      <c:valAx>
        <c:axId val="996128512"/>
        <c:scaling>
          <c:orientation val="minMax"/>
          <c:max val="1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16448"/>
        <c:crosses val="max"/>
        <c:crossBetween val="between"/>
      </c:valAx>
      <c:catAx>
        <c:axId val="996116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1285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/>
              <a:t>Year-End Inventory Balance and Inventory Turnover by Company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898285441592528"/>
          <c:w val="0.86683814523184599"/>
          <c:h val="0.57483925454294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Turnover'!$C$18</c:f>
              <c:strCache>
                <c:ptCount val="1"/>
                <c:pt idx="0">
                  <c:v>Inventory Balance (RMB 100m)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Turnover'!$B$19:$B$23</c:f>
              <c:strCache>
                <c:ptCount val="5"/>
                <c:pt idx="0">
                  <c:v>Tsingtao Brewery</c:v>
                </c:pt>
                <c:pt idx="1">
                  <c:v>Zhujiang Beer</c:v>
                </c:pt>
                <c:pt idx="2">
                  <c:v>Chongqing Brewery</c:v>
                </c:pt>
                <c:pt idx="3">
                  <c:v>Huiquan Brewery</c:v>
                </c:pt>
                <c:pt idx="4">
                  <c:v>Yanjing Brewery</c:v>
                </c:pt>
              </c:strCache>
            </c:strRef>
          </c:cat>
          <c:val>
            <c:numRef>
              <c:f>'Inventory Turnover'!$C$19:$C$23</c:f>
              <c:numCache>
                <c:formatCode>General</c:formatCode>
                <c:ptCount val="5"/>
                <c:pt idx="0">
                  <c:v>26.51</c:v>
                </c:pt>
                <c:pt idx="1">
                  <c:v>5.01</c:v>
                </c:pt>
                <c:pt idx="2">
                  <c:v>3.37</c:v>
                </c:pt>
                <c:pt idx="3">
                  <c:v>1.53</c:v>
                </c:pt>
                <c:pt idx="4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1-4131-BCA9-36BEEE8E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387376"/>
        <c:axId val="1229388208"/>
      </c:barChart>
      <c:lineChart>
        <c:grouping val="standard"/>
        <c:varyColors val="0"/>
        <c:ser>
          <c:idx val="1"/>
          <c:order val="1"/>
          <c:tx>
            <c:strRef>
              <c:f>'Inventory Turnover'!$D$18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Turnover'!$B$19:$B$23</c:f>
              <c:strCache>
                <c:ptCount val="5"/>
                <c:pt idx="0">
                  <c:v>Tsingtao Brewery</c:v>
                </c:pt>
                <c:pt idx="1">
                  <c:v>Zhujiang Beer</c:v>
                </c:pt>
                <c:pt idx="2">
                  <c:v>Chongqing Brewery</c:v>
                </c:pt>
                <c:pt idx="3">
                  <c:v>Huiquan Brewery</c:v>
                </c:pt>
                <c:pt idx="4">
                  <c:v>Yanjing Brewery</c:v>
                </c:pt>
              </c:strCache>
            </c:strRef>
          </c:cat>
          <c:val>
            <c:numRef>
              <c:f>'Inventory Turnover'!$D$19:$D$23</c:f>
              <c:numCache>
                <c:formatCode>0.00</c:formatCode>
                <c:ptCount val="5"/>
                <c:pt idx="0">
                  <c:v>6.56</c:v>
                </c:pt>
                <c:pt idx="1">
                  <c:v>4.47</c:v>
                </c:pt>
                <c:pt idx="2">
                  <c:v>4.3</c:v>
                </c:pt>
                <c:pt idx="3">
                  <c:v>2.66</c:v>
                </c:pt>
                <c:pt idx="4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1-4131-BCA9-36BEEE8E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75904"/>
        <c:axId val="1415408624"/>
      </c:lineChart>
      <c:catAx>
        <c:axId val="12293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8208"/>
        <c:crosses val="autoZero"/>
        <c:auto val="1"/>
        <c:lblAlgn val="ctr"/>
        <c:lblOffset val="100"/>
        <c:noMultiLvlLbl val="0"/>
      </c:catAx>
      <c:valAx>
        <c:axId val="122938820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7376"/>
        <c:crosses val="autoZero"/>
        <c:crossBetween val="between"/>
      </c:valAx>
      <c:valAx>
        <c:axId val="1415408624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75904"/>
        <c:crosses val="max"/>
        <c:crossBetween val="between"/>
      </c:valAx>
      <c:catAx>
        <c:axId val="146017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540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/>
              <a:t>Year-End Inventory Balance and Inventory Turnover by Company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898285441592528"/>
          <c:w val="0.86683814523184599"/>
          <c:h val="0.57483925454294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Turnover'!$C$39</c:f>
              <c:strCache>
                <c:ptCount val="1"/>
                <c:pt idx="0">
                  <c:v>Inventory Balance (RMB 100m)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Turnover'!$B$40:$B$45</c:f>
              <c:strCache>
                <c:ptCount val="6"/>
                <c:pt idx="0">
                  <c:v>Luzhou Laojiao</c:v>
                </c:pt>
                <c:pt idx="1">
                  <c:v>Wuliangye</c:v>
                </c:pt>
                <c:pt idx="2">
                  <c:v>Yanghe Brewery</c:v>
                </c:pt>
                <c:pt idx="3">
                  <c:v>Shuijingfang</c:v>
                </c:pt>
                <c:pt idx="4">
                  <c:v>Jiugui Liquor</c:v>
                </c:pt>
                <c:pt idx="5">
                  <c:v>Kweichow Moutai</c:v>
                </c:pt>
              </c:strCache>
            </c:strRef>
          </c:cat>
          <c:val>
            <c:numRef>
              <c:f>'Inventory Turnover'!$C$40:$C$45</c:f>
              <c:numCache>
                <c:formatCode>General</c:formatCode>
                <c:ptCount val="6"/>
                <c:pt idx="0">
                  <c:v>32.299999999999997</c:v>
                </c:pt>
                <c:pt idx="1">
                  <c:v>117.95</c:v>
                </c:pt>
                <c:pt idx="2">
                  <c:v>138.91999999999999</c:v>
                </c:pt>
                <c:pt idx="3">
                  <c:v>13.45</c:v>
                </c:pt>
                <c:pt idx="4">
                  <c:v>8.2200000000000006</c:v>
                </c:pt>
                <c:pt idx="5">
                  <c:v>235.04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F-4D67-A4AF-E9F59C17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387376"/>
        <c:axId val="1229388208"/>
      </c:barChart>
      <c:lineChart>
        <c:grouping val="standard"/>
        <c:varyColors val="0"/>
        <c:ser>
          <c:idx val="1"/>
          <c:order val="1"/>
          <c:tx>
            <c:strRef>
              <c:f>'Inventory Turnover'!$D$39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Turnover'!$B$40:$B$45</c:f>
              <c:strCache>
                <c:ptCount val="6"/>
                <c:pt idx="0">
                  <c:v>Luzhou Laojiao</c:v>
                </c:pt>
                <c:pt idx="1">
                  <c:v>Wuliangye</c:v>
                </c:pt>
                <c:pt idx="2">
                  <c:v>Yanghe Brewery</c:v>
                </c:pt>
                <c:pt idx="3">
                  <c:v>Shuijingfang</c:v>
                </c:pt>
                <c:pt idx="4">
                  <c:v>Jiugui Liquor</c:v>
                </c:pt>
                <c:pt idx="5">
                  <c:v>Kweichow Moutai</c:v>
                </c:pt>
              </c:strCache>
            </c:strRef>
          </c:cat>
          <c:val>
            <c:numRef>
              <c:f>'Inventory Turnover'!$D$40:$D$45</c:f>
              <c:numCache>
                <c:formatCode>General</c:formatCode>
                <c:ptCount val="6"/>
                <c:pt idx="0">
                  <c:v>0.97</c:v>
                </c:pt>
                <c:pt idx="1">
                  <c:v>0.94</c:v>
                </c:pt>
                <c:pt idx="2">
                  <c:v>0.47</c:v>
                </c:pt>
                <c:pt idx="3">
                  <c:v>0.45</c:v>
                </c:pt>
                <c:pt idx="4">
                  <c:v>0.31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F-4D67-A4AF-E9F59C17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75904"/>
        <c:axId val="1415408624"/>
      </c:lineChart>
      <c:catAx>
        <c:axId val="12293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8208"/>
        <c:crosses val="autoZero"/>
        <c:auto val="1"/>
        <c:lblAlgn val="ctr"/>
        <c:lblOffset val="100"/>
        <c:noMultiLvlLbl val="0"/>
      </c:catAx>
      <c:valAx>
        <c:axId val="1229388208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87376"/>
        <c:crosses val="autoZero"/>
        <c:crossBetween val="between"/>
      </c:valAx>
      <c:valAx>
        <c:axId val="1415408624"/>
        <c:scaling>
          <c:orientation val="minMax"/>
          <c:max val="1"/>
        </c:scaling>
        <c:delete val="0"/>
        <c:axPos val="r"/>
        <c:numFmt formatCode="#,##0.0_);[Red]\(#,##0.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75904"/>
        <c:crosses val="max"/>
        <c:crossBetween val="between"/>
        <c:majorUnit val="0.2"/>
      </c:valAx>
      <c:catAx>
        <c:axId val="146017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540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0</xdr:row>
      <xdr:rowOff>175260</xdr:rowOff>
    </xdr:from>
    <xdr:to>
      <xdr:col>12</xdr:col>
      <xdr:colOff>670560</xdr:colOff>
      <xdr:row>15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510540</xdr:colOff>
      <xdr:row>18</xdr:row>
      <xdr:rowOff>53340</xdr:rowOff>
    </xdr:from>
    <xdr:to>
      <xdr:col>12</xdr:col>
      <xdr:colOff>662940</xdr:colOff>
      <xdr:row>34</xdr:row>
      <xdr:rowOff>68580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129540</xdr:colOff>
      <xdr:row>36</xdr:row>
      <xdr:rowOff>175260</xdr:rowOff>
    </xdr:from>
    <xdr:to>
      <xdr:col>12</xdr:col>
      <xdr:colOff>281940</xdr:colOff>
      <xdr:row>52</xdr:row>
      <xdr:rowOff>190500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716281</xdr:colOff>
      <xdr:row>0</xdr:row>
      <xdr:rowOff>106680</xdr:rowOff>
    </xdr:from>
    <xdr:to>
      <xdr:col>11</xdr:col>
      <xdr:colOff>274321</xdr:colOff>
      <xdr:row>5</xdr:row>
      <xdr:rowOff>114268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1" y="106680"/>
          <a:ext cx="3215640" cy="998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selection activeCell="C18" sqref="C18"/>
    </sheetView>
  </sheetViews>
  <sheetFormatPr defaultColWidth="9" defaultRowHeight="17.399999999999999"/>
  <cols>
    <col min="1" max="16384" width="9" style="1"/>
  </cols>
  <sheetData>
    <row r="1" spans="1:8" s="3" customFormat="1" ht="34.5" customHeight="1">
      <c r="A1" s="4" t="s">
        <v>0</v>
      </c>
      <c r="B1" s="4"/>
    </row>
    <row r="2" spans="1:8">
      <c r="A2" s="31" t="s">
        <v>1</v>
      </c>
      <c r="B2" s="31" t="s">
        <v>2</v>
      </c>
      <c r="C2" s="31"/>
      <c r="D2" s="31"/>
      <c r="E2" s="31"/>
      <c r="F2" s="31"/>
      <c r="G2" s="31"/>
      <c r="H2" s="31"/>
    </row>
    <row r="3" spans="1:8">
      <c r="A3" s="31"/>
      <c r="B3" s="2">
        <v>35</v>
      </c>
      <c r="C3" s="2">
        <v>36</v>
      </c>
      <c r="D3" s="2">
        <v>37</v>
      </c>
      <c r="E3" s="2">
        <v>38</v>
      </c>
      <c r="F3" s="2">
        <v>39</v>
      </c>
      <c r="G3" s="2">
        <v>40</v>
      </c>
      <c r="H3" s="2" t="s">
        <v>3</v>
      </c>
    </row>
    <row r="4" spans="1:8">
      <c r="A4" s="2" t="s">
        <v>4</v>
      </c>
      <c r="B4" s="2"/>
      <c r="C4" s="2">
        <v>1</v>
      </c>
      <c r="D4" s="2"/>
      <c r="E4" s="2">
        <v>1</v>
      </c>
      <c r="F4" s="2"/>
      <c r="G4" s="2"/>
      <c r="H4" s="2">
        <v>2</v>
      </c>
    </row>
    <row r="5" spans="1:8">
      <c r="A5" s="2" t="s">
        <v>5</v>
      </c>
      <c r="B5" s="2">
        <v>1</v>
      </c>
      <c r="C5" s="2"/>
      <c r="D5" s="2">
        <v>1</v>
      </c>
      <c r="E5" s="2"/>
      <c r="F5" s="2"/>
      <c r="G5" s="2"/>
      <c r="H5" s="2">
        <v>2</v>
      </c>
    </row>
    <row r="6" spans="1:8">
      <c r="A6" s="5" t="s">
        <v>48</v>
      </c>
      <c r="B6" s="5"/>
      <c r="C6" s="5"/>
      <c r="D6" s="5"/>
      <c r="E6" s="5"/>
      <c r="F6" s="5">
        <v>1</v>
      </c>
      <c r="G6" s="5">
        <v>1</v>
      </c>
      <c r="H6" s="5">
        <v>2</v>
      </c>
    </row>
    <row r="8" spans="1:8" s="3" customFormat="1" ht="29.25" customHeight="1">
      <c r="A8" s="3" t="s">
        <v>6</v>
      </c>
    </row>
    <row r="9" spans="1:8">
      <c r="A9" s="31" t="s">
        <v>1</v>
      </c>
      <c r="B9" s="31" t="s">
        <v>2</v>
      </c>
      <c r="C9" s="31"/>
      <c r="D9" s="31"/>
      <c r="E9" s="31"/>
      <c r="F9" s="31"/>
      <c r="G9" s="31"/>
      <c r="H9" s="31"/>
    </row>
    <row r="10" spans="1:8">
      <c r="A10" s="31"/>
      <c r="B10" s="2">
        <v>35</v>
      </c>
      <c r="C10" s="2">
        <v>36</v>
      </c>
      <c r="D10" s="2">
        <v>37</v>
      </c>
      <c r="E10" s="2">
        <v>38</v>
      </c>
      <c r="F10" s="2">
        <v>39</v>
      </c>
      <c r="G10" s="2">
        <v>40</v>
      </c>
      <c r="H10" s="2" t="s">
        <v>3</v>
      </c>
    </row>
    <row r="11" spans="1:8">
      <c r="A11" s="2" t="s">
        <v>4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6</v>
      </c>
    </row>
  </sheetData>
  <mergeCells count="4">
    <mergeCell ref="A2:A3"/>
    <mergeCell ref="B2:H2"/>
    <mergeCell ref="A9:A10"/>
    <mergeCell ref="B9:H9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5"/>
  <sheetViews>
    <sheetView tabSelected="1" topLeftCell="E1" workbookViewId="0">
      <selection activeCell="N17" sqref="N17"/>
    </sheetView>
  </sheetViews>
  <sheetFormatPr defaultRowHeight="15.6"/>
  <cols>
    <col min="3" max="3" width="18.90625" customWidth="1"/>
    <col min="4" max="4" width="11.6328125" customWidth="1"/>
  </cols>
  <sheetData>
    <row r="2" spans="2:4">
      <c r="B2" t="s">
        <v>49</v>
      </c>
      <c r="C2" t="s">
        <v>53</v>
      </c>
      <c r="D2" t="s">
        <v>54</v>
      </c>
    </row>
    <row r="3" spans="2:4">
      <c r="B3" t="s">
        <v>50</v>
      </c>
      <c r="C3">
        <v>55.07</v>
      </c>
      <c r="D3">
        <v>9.68</v>
      </c>
    </row>
    <row r="4" spans="2:4">
      <c r="B4" t="s">
        <v>51</v>
      </c>
      <c r="C4">
        <v>20.329999999999998</v>
      </c>
      <c r="D4">
        <v>7.31</v>
      </c>
    </row>
    <row r="5" spans="2:4">
      <c r="B5" t="s">
        <v>52</v>
      </c>
      <c r="C5">
        <v>1.69</v>
      </c>
      <c r="D5">
        <v>7.11</v>
      </c>
    </row>
    <row r="18" spans="2:4">
      <c r="B18" t="s">
        <v>55</v>
      </c>
      <c r="C18" t="s">
        <v>53</v>
      </c>
      <c r="D18" t="s">
        <v>61</v>
      </c>
    </row>
    <row r="19" spans="2:4">
      <c r="B19" t="s">
        <v>56</v>
      </c>
      <c r="C19">
        <v>26.51</v>
      </c>
      <c r="D19" s="8">
        <v>6.56</v>
      </c>
    </row>
    <row r="20" spans="2:4">
      <c r="B20" t="s">
        <v>57</v>
      </c>
      <c r="C20">
        <v>5.01</v>
      </c>
      <c r="D20" s="8">
        <v>4.47</v>
      </c>
    </row>
    <row r="21" spans="2:4">
      <c r="B21" t="s">
        <v>58</v>
      </c>
      <c r="C21">
        <v>3.37</v>
      </c>
      <c r="D21" s="8">
        <v>4.3</v>
      </c>
    </row>
    <row r="22" spans="2:4">
      <c r="B22" t="s">
        <v>59</v>
      </c>
      <c r="C22">
        <v>1.53</v>
      </c>
      <c r="D22" s="8">
        <v>2.66</v>
      </c>
    </row>
    <row r="23" spans="2:4">
      <c r="B23" t="s">
        <v>60</v>
      </c>
      <c r="C23">
        <v>38.6</v>
      </c>
      <c r="D23" s="8">
        <v>1.82</v>
      </c>
    </row>
    <row r="39" spans="2:4">
      <c r="B39" t="s">
        <v>62</v>
      </c>
      <c r="C39" t="s">
        <v>53</v>
      </c>
      <c r="D39" t="s">
        <v>61</v>
      </c>
    </row>
    <row r="40" spans="2:4">
      <c r="B40" t="s">
        <v>63</v>
      </c>
      <c r="C40">
        <v>32.299999999999997</v>
      </c>
      <c r="D40">
        <v>0.97</v>
      </c>
    </row>
    <row r="41" spans="2:4">
      <c r="B41" t="s">
        <v>64</v>
      </c>
      <c r="C41">
        <v>117.95</v>
      </c>
      <c r="D41">
        <v>0.94</v>
      </c>
    </row>
    <row r="42" spans="2:4">
      <c r="B42" t="s">
        <v>65</v>
      </c>
      <c r="C42">
        <v>138.91999999999999</v>
      </c>
      <c r="D42">
        <v>0.47</v>
      </c>
    </row>
    <row r="43" spans="2:4">
      <c r="B43" t="s">
        <v>66</v>
      </c>
      <c r="C43">
        <v>13.45</v>
      </c>
      <c r="D43">
        <v>0.45</v>
      </c>
    </row>
    <row r="44" spans="2:4">
      <c r="B44" t="s">
        <v>67</v>
      </c>
      <c r="C44">
        <v>8.2200000000000006</v>
      </c>
      <c r="D44">
        <v>0.31</v>
      </c>
    </row>
    <row r="45" spans="2:4">
      <c r="B45" t="s">
        <v>68</v>
      </c>
      <c r="C45">
        <v>235.04</v>
      </c>
      <c r="D45">
        <v>0.28999999999999998</v>
      </c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F21" sqref="A21:F21"/>
    </sheetView>
  </sheetViews>
  <sheetFormatPr defaultRowHeight="15.6"/>
  <cols>
    <col min="1" max="1" width="8.7265625" style="7"/>
  </cols>
  <sheetData>
    <row r="1" spans="1:13">
      <c r="A1" s="7" t="s">
        <v>80</v>
      </c>
      <c r="B1" s="7" t="s">
        <v>69</v>
      </c>
      <c r="C1" s="7" t="s">
        <v>70</v>
      </c>
      <c r="D1" s="7" t="s">
        <v>73</v>
      </c>
      <c r="E1" s="7" t="s">
        <v>74</v>
      </c>
      <c r="F1" s="7" t="s">
        <v>75</v>
      </c>
    </row>
    <row r="2" spans="1:13">
      <c r="A2" s="7">
        <v>1</v>
      </c>
      <c r="B2" s="7" t="s">
        <v>72</v>
      </c>
      <c r="C2" s="7" t="s">
        <v>76</v>
      </c>
      <c r="D2" s="7" t="s">
        <v>77</v>
      </c>
      <c r="E2" s="7" t="s">
        <v>78</v>
      </c>
      <c r="F2" s="7" t="s">
        <v>79</v>
      </c>
    </row>
    <row r="3" spans="1:13">
      <c r="A3" s="7">
        <v>2</v>
      </c>
      <c r="B3" s="7" t="s">
        <v>72</v>
      </c>
      <c r="C3" s="7" t="s">
        <v>76</v>
      </c>
      <c r="D3" s="7" t="s">
        <v>77</v>
      </c>
      <c r="E3" s="7" t="s">
        <v>78</v>
      </c>
      <c r="F3" s="7" t="s">
        <v>84</v>
      </c>
    </row>
    <row r="4" spans="1:13">
      <c r="A4" s="7">
        <v>3</v>
      </c>
      <c r="B4" s="7" t="s">
        <v>72</v>
      </c>
      <c r="C4" s="7" t="s">
        <v>76</v>
      </c>
      <c r="D4" s="7" t="s">
        <v>77</v>
      </c>
      <c r="E4" s="7" t="s">
        <v>85</v>
      </c>
      <c r="F4" s="7" t="s">
        <v>79</v>
      </c>
    </row>
    <row r="5" spans="1:13">
      <c r="A5" s="7">
        <v>4</v>
      </c>
      <c r="B5" s="7" t="s">
        <v>72</v>
      </c>
      <c r="C5" s="7" t="s">
        <v>76</v>
      </c>
      <c r="D5" s="7" t="s">
        <v>77</v>
      </c>
      <c r="E5" s="7" t="s">
        <v>85</v>
      </c>
      <c r="F5" s="7" t="s">
        <v>84</v>
      </c>
      <c r="J5" s="7"/>
      <c r="K5" s="7"/>
      <c r="L5" s="7"/>
      <c r="M5" s="7"/>
    </row>
    <row r="6" spans="1:13">
      <c r="A6" s="7">
        <v>5</v>
      </c>
      <c r="B6" s="7" t="s">
        <v>72</v>
      </c>
      <c r="C6" s="7" t="s">
        <v>76</v>
      </c>
      <c r="D6" s="7" t="s">
        <v>77</v>
      </c>
      <c r="E6" s="7" t="s">
        <v>86</v>
      </c>
      <c r="F6" s="7" t="s">
        <v>79</v>
      </c>
      <c r="J6" s="7"/>
      <c r="K6" s="7"/>
      <c r="L6" s="7"/>
      <c r="M6" s="7"/>
    </row>
    <row r="7" spans="1:13">
      <c r="A7" s="7">
        <v>6</v>
      </c>
      <c r="B7" s="7" t="s">
        <v>72</v>
      </c>
      <c r="C7" s="7" t="s">
        <v>76</v>
      </c>
      <c r="D7" s="7" t="s">
        <v>77</v>
      </c>
      <c r="E7" s="7" t="s">
        <v>86</v>
      </c>
      <c r="F7" s="7" t="s">
        <v>84</v>
      </c>
    </row>
    <row r="8" spans="1:13">
      <c r="A8" s="7">
        <v>7</v>
      </c>
      <c r="B8" s="7" t="s">
        <v>72</v>
      </c>
      <c r="C8" s="7" t="s">
        <v>76</v>
      </c>
      <c r="D8" s="7" t="s">
        <v>87</v>
      </c>
      <c r="E8" s="7" t="s">
        <v>78</v>
      </c>
      <c r="F8" s="7" t="s">
        <v>79</v>
      </c>
    </row>
    <row r="9" spans="1:13">
      <c r="A9" s="7">
        <v>8</v>
      </c>
      <c r="B9" s="7" t="s">
        <v>72</v>
      </c>
      <c r="C9" s="7" t="s">
        <v>76</v>
      </c>
      <c r="D9" s="7" t="s">
        <v>87</v>
      </c>
      <c r="E9" s="7" t="s">
        <v>78</v>
      </c>
      <c r="F9" s="7" t="s">
        <v>84</v>
      </c>
    </row>
    <row r="10" spans="1:13">
      <c r="A10" s="7">
        <v>9</v>
      </c>
      <c r="B10" s="7" t="s">
        <v>72</v>
      </c>
      <c r="C10" s="7" t="s">
        <v>76</v>
      </c>
      <c r="D10" s="7" t="s">
        <v>87</v>
      </c>
      <c r="E10" s="7" t="s">
        <v>85</v>
      </c>
      <c r="F10" s="7" t="s">
        <v>79</v>
      </c>
    </row>
    <row r="11" spans="1:13">
      <c r="A11" s="7">
        <v>10</v>
      </c>
      <c r="B11" s="7" t="s">
        <v>72</v>
      </c>
      <c r="C11" s="7" t="s">
        <v>76</v>
      </c>
      <c r="D11" s="7" t="s">
        <v>87</v>
      </c>
      <c r="E11" s="7" t="s">
        <v>85</v>
      </c>
      <c r="F11" s="7" t="s">
        <v>84</v>
      </c>
    </row>
    <row r="12" spans="1:13">
      <c r="A12" s="7">
        <v>11</v>
      </c>
      <c r="B12" s="7" t="s">
        <v>72</v>
      </c>
      <c r="C12" s="7" t="s">
        <v>76</v>
      </c>
      <c r="D12" s="7" t="s">
        <v>87</v>
      </c>
      <c r="E12" s="7" t="s">
        <v>86</v>
      </c>
      <c r="F12" s="7" t="s">
        <v>79</v>
      </c>
    </row>
    <row r="13" spans="1:13">
      <c r="A13" s="7">
        <v>12</v>
      </c>
      <c r="B13" s="7" t="s">
        <v>72</v>
      </c>
      <c r="C13" s="7" t="s">
        <v>76</v>
      </c>
      <c r="D13" s="7" t="s">
        <v>87</v>
      </c>
      <c r="E13" s="7" t="s">
        <v>86</v>
      </c>
      <c r="F13" s="7" t="s">
        <v>84</v>
      </c>
    </row>
    <row r="14" spans="1:13">
      <c r="A14" s="7">
        <v>13</v>
      </c>
      <c r="B14" s="7" t="s">
        <v>72</v>
      </c>
      <c r="C14" s="7" t="s">
        <v>76</v>
      </c>
      <c r="D14" s="7" t="s">
        <v>88</v>
      </c>
      <c r="E14" s="7" t="s">
        <v>78</v>
      </c>
      <c r="F14" s="7" t="s">
        <v>79</v>
      </c>
    </row>
    <row r="15" spans="1:13">
      <c r="A15" s="7">
        <v>14</v>
      </c>
      <c r="B15" s="7" t="s">
        <v>72</v>
      </c>
      <c r="C15" s="7" t="s">
        <v>76</v>
      </c>
      <c r="D15" s="7" t="s">
        <v>88</v>
      </c>
      <c r="E15" s="7" t="s">
        <v>78</v>
      </c>
      <c r="F15" s="7" t="s">
        <v>84</v>
      </c>
    </row>
    <row r="16" spans="1:13">
      <c r="A16" s="7">
        <v>15</v>
      </c>
      <c r="B16" s="7" t="s">
        <v>72</v>
      </c>
      <c r="C16" s="7" t="s">
        <v>76</v>
      </c>
      <c r="D16" s="7" t="s">
        <v>88</v>
      </c>
      <c r="E16" s="7" t="s">
        <v>85</v>
      </c>
      <c r="F16" s="7" t="s">
        <v>79</v>
      </c>
    </row>
    <row r="17" spans="1:6">
      <c r="A17" s="7">
        <v>16</v>
      </c>
      <c r="B17" s="7" t="s">
        <v>72</v>
      </c>
      <c r="C17" s="7" t="s">
        <v>76</v>
      </c>
      <c r="D17" s="7" t="s">
        <v>88</v>
      </c>
      <c r="E17" s="7" t="s">
        <v>85</v>
      </c>
      <c r="F17" s="7" t="s">
        <v>84</v>
      </c>
    </row>
    <row r="18" spans="1:6">
      <c r="A18" s="7">
        <v>17</v>
      </c>
      <c r="B18" s="7" t="s">
        <v>72</v>
      </c>
      <c r="C18" s="7" t="s">
        <v>76</v>
      </c>
      <c r="D18" s="7" t="s">
        <v>88</v>
      </c>
      <c r="E18" s="7" t="s">
        <v>86</v>
      </c>
      <c r="F18" s="7" t="s">
        <v>79</v>
      </c>
    </row>
    <row r="19" spans="1:6">
      <c r="A19" s="7">
        <v>18</v>
      </c>
      <c r="B19" s="7" t="s">
        <v>72</v>
      </c>
      <c r="C19" s="7" t="s">
        <v>76</v>
      </c>
      <c r="D19" s="7" t="s">
        <v>88</v>
      </c>
      <c r="E19" s="7" t="s">
        <v>86</v>
      </c>
      <c r="F19" s="7" t="s">
        <v>84</v>
      </c>
    </row>
    <row r="20" spans="1:6">
      <c r="A20" s="7">
        <v>19</v>
      </c>
      <c r="B20" s="7" t="s">
        <v>72</v>
      </c>
      <c r="C20" s="7" t="s">
        <v>76</v>
      </c>
      <c r="D20" s="7" t="s">
        <v>83</v>
      </c>
      <c r="E20" s="7" t="s">
        <v>78</v>
      </c>
      <c r="F20" s="7" t="s">
        <v>79</v>
      </c>
    </row>
    <row r="21" spans="1:6">
      <c r="A21" s="7">
        <v>20</v>
      </c>
      <c r="B21" s="7" t="s">
        <v>72</v>
      </c>
      <c r="C21" s="7" t="s">
        <v>76</v>
      </c>
      <c r="D21" s="7" t="s">
        <v>83</v>
      </c>
      <c r="E21" s="7" t="s">
        <v>78</v>
      </c>
      <c r="F21" s="7" t="s">
        <v>84</v>
      </c>
    </row>
    <row r="22" spans="1:6">
      <c r="A22" s="7">
        <v>21</v>
      </c>
      <c r="B22" s="7" t="s">
        <v>72</v>
      </c>
      <c r="C22" s="7" t="s">
        <v>76</v>
      </c>
      <c r="D22" s="7" t="s">
        <v>83</v>
      </c>
      <c r="E22" s="7" t="s">
        <v>85</v>
      </c>
      <c r="F22" s="7" t="s">
        <v>79</v>
      </c>
    </row>
    <row r="23" spans="1:6">
      <c r="A23" s="7">
        <v>22</v>
      </c>
      <c r="B23" s="7" t="s">
        <v>72</v>
      </c>
      <c r="C23" s="7" t="s">
        <v>76</v>
      </c>
      <c r="D23" s="7" t="s">
        <v>83</v>
      </c>
      <c r="E23" s="7" t="s">
        <v>85</v>
      </c>
      <c r="F23" s="7" t="s">
        <v>84</v>
      </c>
    </row>
    <row r="24" spans="1:6">
      <c r="A24" s="7">
        <v>23</v>
      </c>
      <c r="B24" s="7" t="s">
        <v>72</v>
      </c>
      <c r="C24" s="7" t="s">
        <v>76</v>
      </c>
      <c r="D24" s="7" t="s">
        <v>83</v>
      </c>
      <c r="E24" s="7" t="s">
        <v>86</v>
      </c>
      <c r="F24" s="7" t="s">
        <v>79</v>
      </c>
    </row>
    <row r="25" spans="1:6">
      <c r="A25" s="7">
        <v>24</v>
      </c>
      <c r="B25" s="7" t="s">
        <v>72</v>
      </c>
      <c r="C25" s="7" t="s">
        <v>76</v>
      </c>
      <c r="D25" s="7" t="s">
        <v>83</v>
      </c>
      <c r="E25" s="7" t="s">
        <v>86</v>
      </c>
      <c r="F25" s="7" t="s">
        <v>84</v>
      </c>
    </row>
    <row r="26" spans="1:6">
      <c r="A26" s="7">
        <v>25</v>
      </c>
      <c r="B26" s="7" t="s">
        <v>72</v>
      </c>
      <c r="C26" s="7" t="s">
        <v>81</v>
      </c>
      <c r="D26" s="7" t="s">
        <v>77</v>
      </c>
      <c r="E26" s="7" t="s">
        <v>78</v>
      </c>
      <c r="F26" s="7" t="s">
        <v>79</v>
      </c>
    </row>
    <row r="27" spans="1:6">
      <c r="A27" s="7">
        <v>26</v>
      </c>
      <c r="B27" s="7" t="s">
        <v>72</v>
      </c>
      <c r="C27" s="7" t="s">
        <v>81</v>
      </c>
      <c r="D27" s="7" t="s">
        <v>77</v>
      </c>
      <c r="E27" s="7" t="s">
        <v>78</v>
      </c>
      <c r="F27" s="7" t="s">
        <v>84</v>
      </c>
    </row>
    <row r="28" spans="1:6">
      <c r="A28" s="7">
        <v>27</v>
      </c>
      <c r="B28" s="7" t="s">
        <v>72</v>
      </c>
      <c r="C28" s="7" t="s">
        <v>81</v>
      </c>
      <c r="D28" s="7" t="s">
        <v>77</v>
      </c>
      <c r="E28" s="7" t="s">
        <v>85</v>
      </c>
      <c r="F28" s="7" t="s">
        <v>79</v>
      </c>
    </row>
    <row r="29" spans="1:6">
      <c r="A29" s="7">
        <v>28</v>
      </c>
      <c r="B29" s="7" t="s">
        <v>72</v>
      </c>
      <c r="C29" s="7" t="s">
        <v>81</v>
      </c>
      <c r="D29" s="7" t="s">
        <v>77</v>
      </c>
      <c r="E29" s="7" t="s">
        <v>85</v>
      </c>
      <c r="F29" s="7" t="s">
        <v>84</v>
      </c>
    </row>
    <row r="30" spans="1:6">
      <c r="A30" s="7">
        <v>29</v>
      </c>
      <c r="B30" s="7" t="s">
        <v>72</v>
      </c>
      <c r="C30" s="7" t="s">
        <v>81</v>
      </c>
      <c r="D30" s="7" t="s">
        <v>77</v>
      </c>
      <c r="E30" s="7" t="s">
        <v>86</v>
      </c>
      <c r="F30" s="7" t="s">
        <v>79</v>
      </c>
    </row>
    <row r="31" spans="1:6">
      <c r="A31" s="7">
        <v>30</v>
      </c>
      <c r="B31" s="7" t="s">
        <v>72</v>
      </c>
      <c r="C31" s="7" t="s">
        <v>81</v>
      </c>
      <c r="D31" s="7" t="s">
        <v>77</v>
      </c>
      <c r="E31" s="7" t="s">
        <v>86</v>
      </c>
      <c r="F31" s="7" t="s">
        <v>84</v>
      </c>
    </row>
    <row r="32" spans="1:6">
      <c r="A32" s="7">
        <v>31</v>
      </c>
      <c r="B32" s="7" t="s">
        <v>71</v>
      </c>
      <c r="C32" s="7" t="s">
        <v>81</v>
      </c>
      <c r="D32" s="7" t="s">
        <v>87</v>
      </c>
      <c r="E32" s="7" t="s">
        <v>78</v>
      </c>
      <c r="F32" s="7" t="s">
        <v>79</v>
      </c>
    </row>
    <row r="33" spans="1:6">
      <c r="A33" s="7">
        <v>32</v>
      </c>
      <c r="B33" s="7" t="s">
        <v>71</v>
      </c>
      <c r="C33" s="7" t="s">
        <v>81</v>
      </c>
      <c r="D33" s="7" t="s">
        <v>87</v>
      </c>
      <c r="E33" s="7" t="s">
        <v>78</v>
      </c>
      <c r="F33" s="7" t="s">
        <v>84</v>
      </c>
    </row>
    <row r="34" spans="1:6">
      <c r="A34" s="7">
        <v>33</v>
      </c>
      <c r="B34" s="7" t="s">
        <v>71</v>
      </c>
      <c r="C34" s="7" t="s">
        <v>81</v>
      </c>
      <c r="D34" s="7" t="s">
        <v>87</v>
      </c>
      <c r="E34" s="7" t="s">
        <v>85</v>
      </c>
      <c r="F34" s="7" t="s">
        <v>79</v>
      </c>
    </row>
    <row r="35" spans="1:6">
      <c r="A35" s="7">
        <v>34</v>
      </c>
      <c r="B35" s="7" t="s">
        <v>71</v>
      </c>
      <c r="C35" s="7" t="s">
        <v>81</v>
      </c>
      <c r="D35" s="7" t="s">
        <v>87</v>
      </c>
      <c r="E35" s="7" t="s">
        <v>85</v>
      </c>
      <c r="F35" s="7" t="s">
        <v>84</v>
      </c>
    </row>
    <row r="36" spans="1:6">
      <c r="A36" s="7">
        <v>35</v>
      </c>
      <c r="B36" s="7" t="s">
        <v>71</v>
      </c>
      <c r="C36" s="7" t="s">
        <v>81</v>
      </c>
      <c r="D36" s="7" t="s">
        <v>87</v>
      </c>
      <c r="E36" s="7" t="s">
        <v>86</v>
      </c>
      <c r="F36" s="7" t="s">
        <v>79</v>
      </c>
    </row>
    <row r="37" spans="1:6">
      <c r="A37" s="7">
        <v>36</v>
      </c>
      <c r="B37" s="7" t="s">
        <v>71</v>
      </c>
      <c r="C37" s="7" t="s">
        <v>81</v>
      </c>
      <c r="D37" s="7" t="s">
        <v>87</v>
      </c>
      <c r="E37" s="7" t="s">
        <v>86</v>
      </c>
      <c r="F37" s="7" t="s">
        <v>84</v>
      </c>
    </row>
    <row r="38" spans="1:6">
      <c r="A38" s="7">
        <v>37</v>
      </c>
      <c r="B38" s="7" t="s">
        <v>71</v>
      </c>
      <c r="C38" s="7" t="s">
        <v>81</v>
      </c>
      <c r="D38" s="7" t="s">
        <v>88</v>
      </c>
      <c r="E38" s="7" t="s">
        <v>78</v>
      </c>
      <c r="F38" s="7" t="s">
        <v>79</v>
      </c>
    </row>
    <row r="39" spans="1:6">
      <c r="A39" s="7">
        <v>38</v>
      </c>
      <c r="B39" s="7" t="s">
        <v>71</v>
      </c>
      <c r="C39" s="7" t="s">
        <v>81</v>
      </c>
      <c r="D39" s="7" t="s">
        <v>88</v>
      </c>
      <c r="E39" s="7" t="s">
        <v>78</v>
      </c>
      <c r="F39" s="7" t="s">
        <v>84</v>
      </c>
    </row>
    <row r="40" spans="1:6">
      <c r="A40" s="7">
        <v>39</v>
      </c>
      <c r="B40" s="7" t="s">
        <v>71</v>
      </c>
      <c r="C40" s="7" t="s">
        <v>81</v>
      </c>
      <c r="D40" s="7" t="s">
        <v>88</v>
      </c>
      <c r="E40" s="7" t="s">
        <v>85</v>
      </c>
      <c r="F40" s="7" t="s">
        <v>79</v>
      </c>
    </row>
    <row r="41" spans="1:6">
      <c r="A41" s="7">
        <v>40</v>
      </c>
      <c r="B41" s="7" t="s">
        <v>71</v>
      </c>
      <c r="C41" s="7" t="s">
        <v>81</v>
      </c>
      <c r="D41" s="7" t="s">
        <v>88</v>
      </c>
      <c r="E41" s="7" t="s">
        <v>85</v>
      </c>
      <c r="F41" s="7" t="s">
        <v>84</v>
      </c>
    </row>
    <row r="42" spans="1:6">
      <c r="A42" s="7">
        <v>41</v>
      </c>
      <c r="B42" s="7" t="s">
        <v>71</v>
      </c>
      <c r="C42" s="7" t="s">
        <v>81</v>
      </c>
      <c r="D42" s="7" t="s">
        <v>88</v>
      </c>
      <c r="E42" s="7" t="s">
        <v>86</v>
      </c>
      <c r="F42" s="7" t="s">
        <v>79</v>
      </c>
    </row>
    <row r="43" spans="1:6">
      <c r="A43" s="7">
        <v>42</v>
      </c>
      <c r="B43" s="7" t="s">
        <v>71</v>
      </c>
      <c r="C43" s="7" t="s">
        <v>81</v>
      </c>
      <c r="D43" s="7" t="s">
        <v>88</v>
      </c>
      <c r="E43" s="7" t="s">
        <v>86</v>
      </c>
      <c r="F43" s="7" t="s">
        <v>84</v>
      </c>
    </row>
    <row r="44" spans="1:6">
      <c r="A44" s="7">
        <v>43</v>
      </c>
      <c r="B44" s="7" t="s">
        <v>71</v>
      </c>
      <c r="C44" s="7" t="s">
        <v>81</v>
      </c>
      <c r="D44" s="7" t="s">
        <v>83</v>
      </c>
      <c r="E44" s="7" t="s">
        <v>78</v>
      </c>
      <c r="F44" s="7" t="s">
        <v>79</v>
      </c>
    </row>
    <row r="45" spans="1:6">
      <c r="A45" s="7">
        <v>44</v>
      </c>
      <c r="B45" s="7" t="s">
        <v>71</v>
      </c>
      <c r="C45" s="7" t="s">
        <v>81</v>
      </c>
      <c r="D45" s="7" t="s">
        <v>83</v>
      </c>
      <c r="E45" s="7" t="s">
        <v>78</v>
      </c>
      <c r="F45" s="7" t="s">
        <v>84</v>
      </c>
    </row>
    <row r="46" spans="1:6">
      <c r="A46" s="7">
        <v>45</v>
      </c>
      <c r="B46" s="7" t="s">
        <v>71</v>
      </c>
      <c r="C46" s="7" t="s">
        <v>81</v>
      </c>
      <c r="D46" s="7" t="s">
        <v>83</v>
      </c>
      <c r="E46" s="7" t="s">
        <v>85</v>
      </c>
      <c r="F46" s="7" t="s">
        <v>79</v>
      </c>
    </row>
    <row r="47" spans="1:6">
      <c r="A47" s="7">
        <v>46</v>
      </c>
      <c r="B47" s="7" t="s">
        <v>71</v>
      </c>
      <c r="C47" s="7" t="s">
        <v>81</v>
      </c>
      <c r="D47" s="7" t="s">
        <v>83</v>
      </c>
      <c r="E47" s="7" t="s">
        <v>85</v>
      </c>
      <c r="F47" s="7" t="s">
        <v>84</v>
      </c>
    </row>
    <row r="48" spans="1:6">
      <c r="A48" s="7">
        <v>47</v>
      </c>
      <c r="B48" s="7" t="s">
        <v>71</v>
      </c>
      <c r="C48" s="7" t="s">
        <v>81</v>
      </c>
      <c r="D48" s="7" t="s">
        <v>83</v>
      </c>
      <c r="E48" s="7" t="s">
        <v>86</v>
      </c>
      <c r="F48" s="7" t="s">
        <v>79</v>
      </c>
    </row>
    <row r="49" spans="1:6">
      <c r="A49" s="7">
        <v>48</v>
      </c>
      <c r="B49" s="7" t="s">
        <v>71</v>
      </c>
      <c r="C49" s="7" t="s">
        <v>81</v>
      </c>
      <c r="D49" s="7" t="s">
        <v>83</v>
      </c>
      <c r="E49" s="7" t="s">
        <v>86</v>
      </c>
      <c r="F49" s="7" t="s">
        <v>84</v>
      </c>
    </row>
    <row r="50" spans="1:6">
      <c r="A50" s="7">
        <v>49</v>
      </c>
      <c r="B50" s="7" t="s">
        <v>72</v>
      </c>
      <c r="C50" s="7" t="s">
        <v>82</v>
      </c>
      <c r="D50" s="7" t="s">
        <v>77</v>
      </c>
      <c r="E50" s="7" t="s">
        <v>78</v>
      </c>
      <c r="F50" s="7" t="s">
        <v>79</v>
      </c>
    </row>
    <row r="51" spans="1:6">
      <c r="A51" s="7">
        <v>50</v>
      </c>
      <c r="B51" s="7" t="s">
        <v>72</v>
      </c>
      <c r="C51" s="7" t="s">
        <v>82</v>
      </c>
      <c r="D51" s="7" t="s">
        <v>77</v>
      </c>
      <c r="E51" s="7" t="s">
        <v>78</v>
      </c>
      <c r="F51" s="7" t="s">
        <v>84</v>
      </c>
    </row>
    <row r="52" spans="1:6">
      <c r="A52" s="7">
        <v>51</v>
      </c>
      <c r="B52" s="7" t="s">
        <v>72</v>
      </c>
      <c r="C52" s="7" t="s">
        <v>82</v>
      </c>
      <c r="D52" s="7" t="s">
        <v>77</v>
      </c>
      <c r="E52" s="7" t="s">
        <v>85</v>
      </c>
      <c r="F52" s="7" t="s">
        <v>79</v>
      </c>
    </row>
    <row r="53" spans="1:6">
      <c r="A53" s="7">
        <v>52</v>
      </c>
      <c r="B53" s="7" t="s">
        <v>72</v>
      </c>
      <c r="C53" s="7" t="s">
        <v>82</v>
      </c>
      <c r="D53" s="7" t="s">
        <v>77</v>
      </c>
      <c r="E53" s="7" t="s">
        <v>85</v>
      </c>
      <c r="F53" s="7" t="s">
        <v>84</v>
      </c>
    </row>
    <row r="54" spans="1:6">
      <c r="A54" s="7">
        <v>53</v>
      </c>
      <c r="B54" s="7" t="s">
        <v>72</v>
      </c>
      <c r="C54" s="7" t="s">
        <v>82</v>
      </c>
      <c r="D54" s="7" t="s">
        <v>77</v>
      </c>
      <c r="E54" s="7" t="s">
        <v>86</v>
      </c>
      <c r="F54" s="7" t="s">
        <v>79</v>
      </c>
    </row>
    <row r="55" spans="1:6">
      <c r="A55" s="7">
        <v>54</v>
      </c>
      <c r="B55" s="7" t="s">
        <v>72</v>
      </c>
      <c r="C55" s="7" t="s">
        <v>82</v>
      </c>
      <c r="D55" s="7" t="s">
        <v>77</v>
      </c>
      <c r="E55" s="7" t="s">
        <v>86</v>
      </c>
      <c r="F55" s="7" t="s">
        <v>84</v>
      </c>
    </row>
    <row r="56" spans="1:6">
      <c r="A56" s="7">
        <v>55</v>
      </c>
      <c r="B56" s="7" t="s">
        <v>71</v>
      </c>
      <c r="C56" s="7" t="s">
        <v>82</v>
      </c>
      <c r="D56" s="7" t="s">
        <v>87</v>
      </c>
      <c r="E56" s="7" t="s">
        <v>78</v>
      </c>
      <c r="F56" s="7" t="s">
        <v>79</v>
      </c>
    </row>
    <row r="57" spans="1:6">
      <c r="A57" s="7">
        <v>56</v>
      </c>
      <c r="B57" s="7" t="s">
        <v>71</v>
      </c>
      <c r="C57" s="7" t="s">
        <v>82</v>
      </c>
      <c r="D57" s="7" t="s">
        <v>87</v>
      </c>
      <c r="E57" s="7" t="s">
        <v>78</v>
      </c>
      <c r="F57" s="7" t="s">
        <v>84</v>
      </c>
    </row>
    <row r="58" spans="1:6">
      <c r="A58" s="7">
        <v>57</v>
      </c>
      <c r="B58" s="7" t="s">
        <v>71</v>
      </c>
      <c r="C58" s="7" t="s">
        <v>82</v>
      </c>
      <c r="D58" s="7" t="s">
        <v>87</v>
      </c>
      <c r="E58" s="7" t="s">
        <v>85</v>
      </c>
      <c r="F58" s="7" t="s">
        <v>79</v>
      </c>
    </row>
    <row r="59" spans="1:6">
      <c r="A59" s="7">
        <v>58</v>
      </c>
      <c r="B59" s="7" t="s">
        <v>71</v>
      </c>
      <c r="C59" s="7" t="s">
        <v>82</v>
      </c>
      <c r="D59" s="7" t="s">
        <v>87</v>
      </c>
      <c r="E59" s="7" t="s">
        <v>85</v>
      </c>
      <c r="F59" s="7" t="s">
        <v>84</v>
      </c>
    </row>
    <row r="60" spans="1:6">
      <c r="A60" s="7">
        <v>59</v>
      </c>
      <c r="B60" s="7" t="s">
        <v>71</v>
      </c>
      <c r="C60" s="7" t="s">
        <v>82</v>
      </c>
      <c r="D60" s="7" t="s">
        <v>87</v>
      </c>
      <c r="E60" s="7" t="s">
        <v>86</v>
      </c>
      <c r="F60" s="7" t="s">
        <v>79</v>
      </c>
    </row>
    <row r="61" spans="1:6">
      <c r="A61" s="7">
        <v>60</v>
      </c>
      <c r="B61" s="7" t="s">
        <v>71</v>
      </c>
      <c r="C61" s="7" t="s">
        <v>82</v>
      </c>
      <c r="D61" s="7" t="s">
        <v>87</v>
      </c>
      <c r="E61" s="7" t="s">
        <v>86</v>
      </c>
      <c r="F61" s="7" t="s">
        <v>84</v>
      </c>
    </row>
    <row r="62" spans="1:6">
      <c r="A62" s="7">
        <v>61</v>
      </c>
      <c r="B62" s="7" t="s">
        <v>71</v>
      </c>
      <c r="C62" s="7" t="s">
        <v>82</v>
      </c>
      <c r="D62" s="7" t="s">
        <v>88</v>
      </c>
      <c r="E62" s="7" t="s">
        <v>78</v>
      </c>
      <c r="F62" s="7" t="s">
        <v>79</v>
      </c>
    </row>
    <row r="63" spans="1:6">
      <c r="A63" s="7">
        <v>62</v>
      </c>
      <c r="B63" s="7" t="s">
        <v>71</v>
      </c>
      <c r="C63" s="7" t="s">
        <v>82</v>
      </c>
      <c r="D63" s="7" t="s">
        <v>88</v>
      </c>
      <c r="E63" s="7" t="s">
        <v>78</v>
      </c>
      <c r="F63" s="7" t="s">
        <v>84</v>
      </c>
    </row>
    <row r="64" spans="1:6">
      <c r="A64" s="7">
        <v>63</v>
      </c>
      <c r="B64" s="7" t="s">
        <v>71</v>
      </c>
      <c r="C64" s="7" t="s">
        <v>82</v>
      </c>
      <c r="D64" s="7" t="s">
        <v>88</v>
      </c>
      <c r="E64" s="7" t="s">
        <v>85</v>
      </c>
      <c r="F64" s="7" t="s">
        <v>79</v>
      </c>
    </row>
    <row r="65" spans="1:6">
      <c r="A65" s="7">
        <v>64</v>
      </c>
      <c r="B65" s="7" t="s">
        <v>71</v>
      </c>
      <c r="C65" s="7" t="s">
        <v>82</v>
      </c>
      <c r="D65" s="7" t="s">
        <v>88</v>
      </c>
      <c r="E65" s="7" t="s">
        <v>85</v>
      </c>
      <c r="F65" s="7" t="s">
        <v>84</v>
      </c>
    </row>
    <row r="66" spans="1:6">
      <c r="A66" s="7">
        <v>65</v>
      </c>
      <c r="B66" s="7" t="s">
        <v>71</v>
      </c>
      <c r="C66" s="7" t="s">
        <v>82</v>
      </c>
      <c r="D66" s="7" t="s">
        <v>88</v>
      </c>
      <c r="E66" s="7" t="s">
        <v>86</v>
      </c>
      <c r="F66" s="7" t="s">
        <v>79</v>
      </c>
    </row>
    <row r="67" spans="1:6">
      <c r="A67" s="7">
        <v>66</v>
      </c>
      <c r="B67" s="7" t="s">
        <v>71</v>
      </c>
      <c r="C67" s="7" t="s">
        <v>82</v>
      </c>
      <c r="D67" s="7" t="s">
        <v>88</v>
      </c>
      <c r="E67" s="7" t="s">
        <v>86</v>
      </c>
      <c r="F67" s="7" t="s">
        <v>84</v>
      </c>
    </row>
    <row r="68" spans="1:6">
      <c r="A68" s="7">
        <v>67</v>
      </c>
      <c r="B68" s="7" t="s">
        <v>71</v>
      </c>
      <c r="C68" s="7" t="s">
        <v>82</v>
      </c>
      <c r="D68" s="7" t="s">
        <v>83</v>
      </c>
      <c r="E68" s="7" t="s">
        <v>78</v>
      </c>
      <c r="F68" s="7" t="s">
        <v>79</v>
      </c>
    </row>
    <row r="69" spans="1:6">
      <c r="A69" s="7">
        <v>68</v>
      </c>
      <c r="B69" s="7" t="s">
        <v>71</v>
      </c>
      <c r="C69" s="7" t="s">
        <v>82</v>
      </c>
      <c r="D69" s="7" t="s">
        <v>83</v>
      </c>
      <c r="E69" s="7" t="s">
        <v>78</v>
      </c>
      <c r="F69" s="7" t="s">
        <v>84</v>
      </c>
    </row>
    <row r="70" spans="1:6">
      <c r="A70" s="7">
        <v>69</v>
      </c>
      <c r="B70" s="7" t="s">
        <v>71</v>
      </c>
      <c r="C70" s="7" t="s">
        <v>82</v>
      </c>
      <c r="D70" s="7" t="s">
        <v>83</v>
      </c>
      <c r="E70" s="7" t="s">
        <v>85</v>
      </c>
      <c r="F70" s="7" t="s">
        <v>79</v>
      </c>
    </row>
    <row r="71" spans="1:6">
      <c r="A71" s="7">
        <v>70</v>
      </c>
      <c r="B71" s="7" t="s">
        <v>71</v>
      </c>
      <c r="C71" s="7" t="s">
        <v>82</v>
      </c>
      <c r="D71" s="7" t="s">
        <v>83</v>
      </c>
      <c r="E71" s="7" t="s">
        <v>85</v>
      </c>
      <c r="F71" s="7" t="s">
        <v>84</v>
      </c>
    </row>
    <row r="72" spans="1:6">
      <c r="A72" s="7">
        <v>71</v>
      </c>
      <c r="B72" s="7" t="s">
        <v>71</v>
      </c>
      <c r="C72" s="7" t="s">
        <v>82</v>
      </c>
      <c r="D72" s="7" t="s">
        <v>83</v>
      </c>
      <c r="E72" s="7" t="s">
        <v>86</v>
      </c>
      <c r="F72" s="7" t="s">
        <v>79</v>
      </c>
    </row>
    <row r="73" spans="1:6">
      <c r="A73" s="7">
        <v>72</v>
      </c>
      <c r="B73" s="7" t="s">
        <v>71</v>
      </c>
      <c r="C73" s="7" t="s">
        <v>82</v>
      </c>
      <c r="D73" s="7" t="s">
        <v>83</v>
      </c>
      <c r="E73" s="7" t="s">
        <v>86</v>
      </c>
      <c r="F73" s="7" t="s">
        <v>84</v>
      </c>
    </row>
  </sheetData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selection activeCell="I65" sqref="I65"/>
    </sheetView>
  </sheetViews>
  <sheetFormatPr defaultColWidth="9" defaultRowHeight="15.6"/>
  <cols>
    <col min="1" max="1" width="8.6328125" style="9" customWidth="1"/>
    <col min="2" max="2" width="9.1796875" style="9" customWidth="1"/>
    <col min="3" max="3" width="11.26953125" style="9" customWidth="1"/>
    <col min="4" max="4" width="8.81640625" style="9" customWidth="1"/>
    <col min="5" max="5" width="9.7265625" style="9" customWidth="1"/>
    <col min="6" max="7" width="7.6328125" style="9" customWidth="1"/>
    <col min="8" max="8" width="10" style="9" customWidth="1"/>
    <col min="9" max="11" width="7.6328125" style="9" customWidth="1"/>
    <col min="12" max="16384" width="9" style="9"/>
  </cols>
  <sheetData>
    <row r="1" spans="1:14" s="10" customFormat="1" ht="16.2">
      <c r="A1" s="10" t="s">
        <v>12</v>
      </c>
    </row>
    <row r="2" spans="1:14" ht="22.5" customHeight="1">
      <c r="A2" s="40" t="s">
        <v>13</v>
      </c>
      <c r="B2" s="42" t="s">
        <v>97</v>
      </c>
      <c r="C2" s="43"/>
      <c r="D2" s="43"/>
      <c r="E2" s="43"/>
      <c r="F2" s="44"/>
      <c r="G2" s="45" t="s">
        <v>14</v>
      </c>
      <c r="H2" s="46"/>
      <c r="I2" s="46"/>
      <c r="J2" s="46"/>
      <c r="K2" s="47"/>
      <c r="L2" s="48" t="s">
        <v>15</v>
      </c>
      <c r="M2" s="49"/>
      <c r="N2" s="50"/>
    </row>
    <row r="3" spans="1:14" ht="22.5" customHeight="1">
      <c r="A3" s="41"/>
      <c r="B3" s="21" t="s">
        <v>7</v>
      </c>
      <c r="C3" s="21" t="s">
        <v>9</v>
      </c>
      <c r="D3" s="21" t="s">
        <v>10</v>
      </c>
      <c r="E3" s="21" t="s">
        <v>11</v>
      </c>
      <c r="F3" s="21" t="s">
        <v>8</v>
      </c>
      <c r="G3" s="11" t="s">
        <v>7</v>
      </c>
      <c r="H3" s="11" t="s">
        <v>9</v>
      </c>
      <c r="I3" s="11" t="s">
        <v>10</v>
      </c>
      <c r="J3" s="11" t="s">
        <v>11</v>
      </c>
      <c r="K3" s="11" t="s">
        <v>8</v>
      </c>
      <c r="L3" s="22" t="s">
        <v>7</v>
      </c>
      <c r="M3" s="22"/>
      <c r="N3" s="22" t="s">
        <v>9</v>
      </c>
    </row>
    <row r="4" spans="1:14" ht="22.5" customHeight="1">
      <c r="A4" s="6" t="s">
        <v>96</v>
      </c>
      <c r="B4" s="6">
        <v>666</v>
      </c>
      <c r="C4" s="6">
        <v>85248</v>
      </c>
      <c r="D4" s="6">
        <v>340992</v>
      </c>
      <c r="E4" s="6">
        <f>C4/B4</f>
        <v>128</v>
      </c>
      <c r="F4" s="6">
        <f>C4/D4</f>
        <v>0.25</v>
      </c>
      <c r="G4" s="6">
        <v>1207</v>
      </c>
      <c r="H4" s="6">
        <v>177429</v>
      </c>
      <c r="I4" s="6">
        <v>591430</v>
      </c>
      <c r="J4" s="6">
        <f>H4/G4</f>
        <v>147</v>
      </c>
      <c r="K4" s="6">
        <f>H4/I4</f>
        <v>0.3</v>
      </c>
      <c r="L4" s="12">
        <f>(B4-G4)/G4</f>
        <v>-0.44821872410936203</v>
      </c>
      <c r="M4" s="12"/>
      <c r="N4" s="12">
        <f>(C4-H4)/H4</f>
        <v>-0.51953739242175745</v>
      </c>
    </row>
    <row r="6" spans="1:14" s="10" customFormat="1" ht="27.75" customHeight="1">
      <c r="A6" s="10" t="s">
        <v>98</v>
      </c>
    </row>
    <row r="7" spans="1:14" s="10" customFormat="1" ht="16.2">
      <c r="A7" s="13" t="s">
        <v>90</v>
      </c>
      <c r="B7" s="13" t="s">
        <v>91</v>
      </c>
      <c r="C7" s="13" t="s">
        <v>92</v>
      </c>
      <c r="D7" s="13" t="s">
        <v>93</v>
      </c>
      <c r="E7" s="13" t="s">
        <v>95</v>
      </c>
    </row>
    <row r="8" spans="1:14" s="10" customFormat="1" ht="16.2">
      <c r="A8" s="6" t="s">
        <v>96</v>
      </c>
      <c r="B8" s="14">
        <v>7</v>
      </c>
      <c r="C8" s="14">
        <v>5</v>
      </c>
      <c r="D8" s="14">
        <v>3</v>
      </c>
      <c r="E8" s="15">
        <f>D8/C8</f>
        <v>0.6</v>
      </c>
    </row>
    <row r="9" spans="1:14" s="10" customFormat="1" ht="16.2">
      <c r="A9" s="9" t="s">
        <v>94</v>
      </c>
    </row>
    <row r="11" spans="1:14" ht="16.2">
      <c r="A11" s="10" t="s">
        <v>89</v>
      </c>
    </row>
    <row r="12" spans="1:14" ht="16.2">
      <c r="A12" s="40" t="s">
        <v>1</v>
      </c>
      <c r="B12" s="42" t="s">
        <v>99</v>
      </c>
      <c r="C12" s="43"/>
      <c r="D12" s="43"/>
      <c r="E12" s="43"/>
      <c r="F12" s="44"/>
      <c r="G12" s="45" t="s">
        <v>14</v>
      </c>
      <c r="H12" s="46"/>
      <c r="I12" s="46"/>
      <c r="J12" s="46"/>
      <c r="K12" s="47"/>
      <c r="L12" s="48" t="s">
        <v>15</v>
      </c>
      <c r="M12" s="49"/>
      <c r="N12" s="50"/>
    </row>
    <row r="13" spans="1:14" ht="16.2">
      <c r="A13" s="41"/>
      <c r="B13" s="21" t="s">
        <v>7</v>
      </c>
      <c r="C13" s="21" t="s">
        <v>16</v>
      </c>
      <c r="D13" s="21" t="s">
        <v>9</v>
      </c>
      <c r="E13" s="21" t="s">
        <v>17</v>
      </c>
      <c r="F13" s="21" t="s">
        <v>18</v>
      </c>
      <c r="G13" s="11" t="s">
        <v>7</v>
      </c>
      <c r="H13" s="11" t="s">
        <v>16</v>
      </c>
      <c r="I13" s="11" t="s">
        <v>9</v>
      </c>
      <c r="J13" s="11" t="s">
        <v>17</v>
      </c>
      <c r="K13" s="11" t="s">
        <v>18</v>
      </c>
      <c r="L13" s="22" t="s">
        <v>17</v>
      </c>
      <c r="M13" s="22"/>
      <c r="N13" s="22" t="s">
        <v>18</v>
      </c>
    </row>
    <row r="14" spans="1:14" ht="16.2">
      <c r="A14" s="6" t="s">
        <v>96</v>
      </c>
      <c r="B14" s="14">
        <v>666</v>
      </c>
      <c r="C14" s="14">
        <v>445</v>
      </c>
      <c r="D14" s="6">
        <v>85248</v>
      </c>
      <c r="E14" s="19">
        <f>B14/C14</f>
        <v>1.496629213483146</v>
      </c>
      <c r="F14" s="20">
        <f>D14/C14</f>
        <v>191.56853932584269</v>
      </c>
      <c r="G14" s="14">
        <v>1207</v>
      </c>
      <c r="H14" s="14">
        <v>502</v>
      </c>
      <c r="I14" s="6">
        <v>177429</v>
      </c>
      <c r="J14" s="19">
        <f>G14/H14</f>
        <v>2.404382470119522</v>
      </c>
      <c r="K14" s="20">
        <f>I14/H14</f>
        <v>353.44422310756971</v>
      </c>
      <c r="L14" s="12">
        <f>(E14-J14)/J14</f>
        <v>-0.37754112247842642</v>
      </c>
      <c r="M14" s="12"/>
      <c r="N14" s="12">
        <f>(F14-K14)/K14</f>
        <v>-0.457994991001623</v>
      </c>
    </row>
    <row r="17" spans="1:14" s="10" customFormat="1" ht="28.5" customHeight="1">
      <c r="A17" s="10" t="s">
        <v>19</v>
      </c>
    </row>
    <row r="18" spans="1:14" ht="24" customHeight="1">
      <c r="A18" s="32" t="s">
        <v>1</v>
      </c>
      <c r="B18" s="34" t="s">
        <v>104</v>
      </c>
      <c r="C18" s="35"/>
      <c r="D18" s="36"/>
      <c r="E18" s="37" t="s">
        <v>14</v>
      </c>
      <c r="F18" s="38"/>
      <c r="G18" s="39"/>
      <c r="H18" s="24" t="s">
        <v>15</v>
      </c>
    </row>
    <row r="19" spans="1:14" ht="24" customHeight="1">
      <c r="A19" s="33"/>
      <c r="B19" s="25" t="s">
        <v>100</v>
      </c>
      <c r="C19" s="25" t="s">
        <v>101</v>
      </c>
      <c r="D19" s="25" t="s">
        <v>102</v>
      </c>
      <c r="E19" s="23" t="s">
        <v>100</v>
      </c>
      <c r="F19" s="23" t="s">
        <v>103</v>
      </c>
      <c r="G19" s="23" t="s">
        <v>21</v>
      </c>
      <c r="H19" s="24" t="s">
        <v>20</v>
      </c>
    </row>
    <row r="20" spans="1:14" ht="25.5" customHeight="1">
      <c r="A20" s="6" t="s">
        <v>96</v>
      </c>
      <c r="B20" s="16">
        <v>6807</v>
      </c>
      <c r="C20" s="6">
        <v>85248</v>
      </c>
      <c r="D20" s="17">
        <f>B20/C20</f>
        <v>7.9849380630630629E-2</v>
      </c>
      <c r="E20" s="16">
        <v>35375</v>
      </c>
      <c r="F20" s="6">
        <v>177429</v>
      </c>
      <c r="G20" s="17">
        <f>E20/F20</f>
        <v>0.19937552485783044</v>
      </c>
      <c r="H20" s="18">
        <f>(B20-E20)/E20</f>
        <v>-0.80757597173144879</v>
      </c>
    </row>
    <row r="22" spans="1:14" s="10" customFormat="1" ht="35.25" customHeight="1">
      <c r="A22" s="10" t="s">
        <v>22</v>
      </c>
    </row>
    <row r="23" spans="1:14" ht="16.2">
      <c r="A23" s="28" t="s">
        <v>23</v>
      </c>
      <c r="B23" s="28">
        <v>35</v>
      </c>
      <c r="C23" s="28">
        <v>36</v>
      </c>
      <c r="D23" s="28">
        <v>37</v>
      </c>
      <c r="E23" s="28">
        <v>38</v>
      </c>
      <c r="F23" s="28">
        <v>39</v>
      </c>
      <c r="G23" s="28">
        <v>40</v>
      </c>
      <c r="H23" s="28">
        <v>41</v>
      </c>
      <c r="I23" s="28">
        <v>42</v>
      </c>
      <c r="J23" s="28">
        <v>43</v>
      </c>
      <c r="K23" s="28">
        <v>44</v>
      </c>
      <c r="L23" s="28" t="s">
        <v>3</v>
      </c>
      <c r="M23" s="28"/>
      <c r="N23" s="28" t="s">
        <v>24</v>
      </c>
    </row>
    <row r="24" spans="1:14">
      <c r="A24" s="16" t="s">
        <v>25</v>
      </c>
      <c r="B24" s="16">
        <v>1</v>
      </c>
      <c r="C24" s="16">
        <v>2</v>
      </c>
      <c r="D24" s="16">
        <v>10</v>
      </c>
      <c r="E24" s="16">
        <v>7</v>
      </c>
      <c r="F24" s="16">
        <v>2</v>
      </c>
      <c r="G24" s="16">
        <v>8</v>
      </c>
      <c r="H24" s="16"/>
      <c r="I24" s="16"/>
      <c r="J24" s="16"/>
      <c r="K24" s="16"/>
      <c r="L24" s="16">
        <f t="shared" ref="L24:L43" si="0">SUM(B24:K24)</f>
        <v>30</v>
      </c>
      <c r="M24" s="16"/>
      <c r="N24" s="27" t="s">
        <v>26</v>
      </c>
    </row>
    <row r="25" spans="1:14">
      <c r="A25" s="16" t="s">
        <v>27</v>
      </c>
      <c r="B25" s="16">
        <v>1</v>
      </c>
      <c r="C25" s="16">
        <v>2</v>
      </c>
      <c r="D25" s="16">
        <v>6</v>
      </c>
      <c r="E25" s="16">
        <v>13</v>
      </c>
      <c r="F25" s="16">
        <v>2</v>
      </c>
      <c r="G25" s="16">
        <v>1</v>
      </c>
      <c r="H25" s="16"/>
      <c r="I25" s="16"/>
      <c r="J25" s="16"/>
      <c r="K25" s="16"/>
      <c r="L25" s="16">
        <f t="shared" si="0"/>
        <v>25</v>
      </c>
      <c r="M25" s="16"/>
      <c r="N25" s="27" t="s">
        <v>26</v>
      </c>
    </row>
    <row r="26" spans="1:14">
      <c r="A26" s="16" t="s">
        <v>28</v>
      </c>
      <c r="B26" s="16">
        <v>4</v>
      </c>
      <c r="C26" s="16">
        <v>6</v>
      </c>
      <c r="D26" s="16">
        <v>5</v>
      </c>
      <c r="E26" s="16">
        <v>4</v>
      </c>
      <c r="F26" s="16">
        <v>4</v>
      </c>
      <c r="G26" s="16"/>
      <c r="H26" s="16"/>
      <c r="I26" s="16"/>
      <c r="J26" s="16"/>
      <c r="K26" s="16"/>
      <c r="L26" s="16">
        <f t="shared" si="0"/>
        <v>23</v>
      </c>
      <c r="M26" s="16"/>
      <c r="N26" s="27" t="s">
        <v>26</v>
      </c>
    </row>
    <row r="27" spans="1:14">
      <c r="A27" s="16" t="s">
        <v>29</v>
      </c>
      <c r="B27" s="16"/>
      <c r="C27" s="16"/>
      <c r="D27" s="16"/>
      <c r="E27" s="16"/>
      <c r="F27" s="16">
        <v>1</v>
      </c>
      <c r="G27" s="16">
        <v>6</v>
      </c>
      <c r="H27" s="16">
        <v>5</v>
      </c>
      <c r="I27" s="16">
        <v>2</v>
      </c>
      <c r="J27" s="16">
        <v>8</v>
      </c>
      <c r="K27" s="16">
        <v>2</v>
      </c>
      <c r="L27" s="16">
        <f t="shared" si="0"/>
        <v>24</v>
      </c>
      <c r="M27" s="16"/>
      <c r="N27" s="27" t="s">
        <v>26</v>
      </c>
    </row>
    <row r="28" spans="1:14">
      <c r="A28" s="16" t="s">
        <v>30</v>
      </c>
      <c r="B28" s="16"/>
      <c r="C28" s="16"/>
      <c r="D28" s="16"/>
      <c r="E28" s="16"/>
      <c r="F28" s="16">
        <v>4</v>
      </c>
      <c r="G28" s="16">
        <v>6</v>
      </c>
      <c r="H28" s="16">
        <v>3</v>
      </c>
      <c r="I28" s="16">
        <v>2</v>
      </c>
      <c r="J28" s="16">
        <v>4</v>
      </c>
      <c r="K28" s="16"/>
      <c r="L28" s="16">
        <f t="shared" si="0"/>
        <v>19</v>
      </c>
      <c r="M28" s="16"/>
      <c r="N28" s="27" t="s">
        <v>26</v>
      </c>
    </row>
    <row r="29" spans="1:14">
      <c r="A29" s="16" t="s">
        <v>31</v>
      </c>
      <c r="B29" s="16"/>
      <c r="C29" s="16"/>
      <c r="D29" s="16"/>
      <c r="E29" s="16"/>
      <c r="F29" s="16">
        <v>2</v>
      </c>
      <c r="G29" s="16">
        <v>6</v>
      </c>
      <c r="H29" s="16">
        <v>5</v>
      </c>
      <c r="I29" s="16">
        <v>2</v>
      </c>
      <c r="J29" s="16">
        <v>4</v>
      </c>
      <c r="K29" s="16"/>
      <c r="L29" s="16">
        <f t="shared" si="0"/>
        <v>19</v>
      </c>
      <c r="M29" s="16"/>
      <c r="N29" s="27" t="s">
        <v>26</v>
      </c>
    </row>
    <row r="30" spans="1:14">
      <c r="A30" s="16" t="s">
        <v>32</v>
      </c>
      <c r="B30" s="16"/>
      <c r="C30" s="16">
        <v>1</v>
      </c>
      <c r="D30" s="16">
        <v>3</v>
      </c>
      <c r="E30" s="16">
        <v>6</v>
      </c>
      <c r="F30" s="16">
        <v>4</v>
      </c>
      <c r="G30" s="16">
        <v>4</v>
      </c>
      <c r="H30" s="16"/>
      <c r="I30" s="16"/>
      <c r="J30" s="16"/>
      <c r="K30" s="16"/>
      <c r="L30" s="16">
        <f t="shared" si="0"/>
        <v>18</v>
      </c>
      <c r="M30" s="16"/>
      <c r="N30" s="27" t="s">
        <v>26</v>
      </c>
    </row>
    <row r="31" spans="1:14">
      <c r="A31" s="16" t="s">
        <v>33</v>
      </c>
      <c r="B31" s="16"/>
      <c r="C31" s="16"/>
      <c r="D31" s="16"/>
      <c r="E31" s="16"/>
      <c r="F31" s="16">
        <v>3</v>
      </c>
      <c r="G31" s="16">
        <v>3</v>
      </c>
      <c r="H31" s="16">
        <v>6</v>
      </c>
      <c r="I31" s="16">
        <v>2</v>
      </c>
      <c r="J31" s="16">
        <v>4</v>
      </c>
      <c r="K31" s="16"/>
      <c r="L31" s="16">
        <f t="shared" si="0"/>
        <v>18</v>
      </c>
      <c r="M31" s="16"/>
      <c r="N31" s="27" t="s">
        <v>26</v>
      </c>
    </row>
    <row r="32" spans="1:14">
      <c r="A32" s="16" t="s">
        <v>34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>
        <f t="shared" si="0"/>
        <v>0</v>
      </c>
      <c r="M32" s="16"/>
      <c r="N32" s="16" t="s">
        <v>35</v>
      </c>
    </row>
    <row r="33" spans="1:14">
      <c r="A33" s="16" t="s">
        <v>36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>
        <f t="shared" si="0"/>
        <v>0</v>
      </c>
      <c r="M33" s="16"/>
      <c r="N33" s="16" t="s">
        <v>35</v>
      </c>
    </row>
    <row r="34" spans="1:14">
      <c r="A34" s="16" t="s">
        <v>37</v>
      </c>
      <c r="B34" s="16"/>
      <c r="C34" s="16"/>
      <c r="D34" s="16"/>
      <c r="E34" s="16"/>
      <c r="F34" s="16">
        <v>2</v>
      </c>
      <c r="G34" s="16"/>
      <c r="H34" s="16">
        <v>3</v>
      </c>
      <c r="I34" s="16"/>
      <c r="J34" s="16">
        <v>1</v>
      </c>
      <c r="K34" s="16"/>
      <c r="L34" s="16">
        <f t="shared" si="0"/>
        <v>6</v>
      </c>
      <c r="M34" s="16"/>
      <c r="N34" s="16" t="s">
        <v>38</v>
      </c>
    </row>
    <row r="35" spans="1:14">
      <c r="A35" s="16" t="s">
        <v>39</v>
      </c>
      <c r="B35" s="16"/>
      <c r="C35" s="16"/>
      <c r="D35" s="16"/>
      <c r="E35" s="16"/>
      <c r="F35" s="16"/>
      <c r="G35" s="16">
        <v>3</v>
      </c>
      <c r="H35" s="16"/>
      <c r="I35" s="16"/>
      <c r="J35" s="16"/>
      <c r="K35" s="16"/>
      <c r="L35" s="16">
        <f t="shared" si="0"/>
        <v>3</v>
      </c>
      <c r="M35" s="16"/>
      <c r="N35" s="16" t="s">
        <v>38</v>
      </c>
    </row>
    <row r="36" spans="1:14">
      <c r="A36" s="16" t="s">
        <v>40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>
        <f t="shared" si="0"/>
        <v>0</v>
      </c>
      <c r="M36" s="16"/>
      <c r="N36" s="16" t="s">
        <v>35</v>
      </c>
    </row>
    <row r="37" spans="1:14">
      <c r="A37" s="16" t="s">
        <v>41</v>
      </c>
      <c r="B37" s="16"/>
      <c r="C37" s="16"/>
      <c r="D37" s="16"/>
      <c r="E37" s="16"/>
      <c r="F37" s="16">
        <v>1</v>
      </c>
      <c r="G37" s="16">
        <v>2</v>
      </c>
      <c r="H37" s="16"/>
      <c r="I37" s="16">
        <v>2</v>
      </c>
      <c r="J37" s="16"/>
      <c r="K37" s="16"/>
      <c r="L37" s="16">
        <f t="shared" si="0"/>
        <v>5</v>
      </c>
      <c r="M37" s="16"/>
      <c r="N37" s="16" t="s">
        <v>38</v>
      </c>
    </row>
    <row r="38" spans="1:14">
      <c r="A38" s="16" t="s">
        <v>42</v>
      </c>
      <c r="B38" s="16"/>
      <c r="C38" s="16"/>
      <c r="D38" s="16"/>
      <c r="E38" s="16"/>
      <c r="F38" s="16"/>
      <c r="G38" s="16">
        <v>3</v>
      </c>
      <c r="H38" s="16"/>
      <c r="I38" s="16">
        <v>5</v>
      </c>
      <c r="J38" s="16"/>
      <c r="K38" s="16"/>
      <c r="L38" s="16">
        <f t="shared" si="0"/>
        <v>8</v>
      </c>
      <c r="M38" s="16"/>
      <c r="N38" s="16" t="s">
        <v>38</v>
      </c>
    </row>
    <row r="39" spans="1:14">
      <c r="A39" s="16" t="s">
        <v>43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>
        <f t="shared" si="0"/>
        <v>0</v>
      </c>
      <c r="M39" s="16"/>
      <c r="N39" s="16" t="s">
        <v>35</v>
      </c>
    </row>
    <row r="40" spans="1:14">
      <c r="A40" s="16" t="s">
        <v>44</v>
      </c>
      <c r="B40" s="16">
        <v>1</v>
      </c>
      <c r="C40" s="16"/>
      <c r="D40" s="16">
        <v>1</v>
      </c>
      <c r="E40" s="16"/>
      <c r="F40" s="16"/>
      <c r="G40" s="16"/>
      <c r="H40" s="16"/>
      <c r="I40" s="16"/>
      <c r="J40" s="16"/>
      <c r="K40" s="16"/>
      <c r="L40" s="16">
        <f t="shared" si="0"/>
        <v>2</v>
      </c>
      <c r="M40" s="16"/>
      <c r="N40" s="16" t="s">
        <v>38</v>
      </c>
    </row>
    <row r="41" spans="1:14">
      <c r="A41" s="16" t="s">
        <v>45</v>
      </c>
      <c r="B41" s="16">
        <v>2</v>
      </c>
      <c r="C41" s="16"/>
      <c r="D41" s="16">
        <v>1</v>
      </c>
      <c r="E41" s="16"/>
      <c r="F41" s="16">
        <v>2</v>
      </c>
      <c r="G41" s="16"/>
      <c r="H41" s="16"/>
      <c r="I41" s="16"/>
      <c r="J41" s="16"/>
      <c r="K41" s="16"/>
      <c r="L41" s="16">
        <f t="shared" si="0"/>
        <v>5</v>
      </c>
      <c r="M41" s="16"/>
      <c r="N41" s="16" t="s">
        <v>38</v>
      </c>
    </row>
    <row r="42" spans="1:14">
      <c r="A42" s="16" t="s">
        <v>46</v>
      </c>
      <c r="B42" s="16"/>
      <c r="C42" s="16"/>
      <c r="D42" s="16"/>
      <c r="E42" s="16"/>
      <c r="F42" s="16">
        <v>1</v>
      </c>
      <c r="G42" s="16">
        <v>1</v>
      </c>
      <c r="H42" s="16"/>
      <c r="I42" s="16">
        <v>2</v>
      </c>
      <c r="J42" s="16">
        <v>2</v>
      </c>
      <c r="K42" s="16"/>
      <c r="L42" s="16">
        <f t="shared" si="0"/>
        <v>6</v>
      </c>
      <c r="M42" s="16"/>
      <c r="N42" s="16" t="s">
        <v>38</v>
      </c>
    </row>
    <row r="43" spans="1:14">
      <c r="A43" s="16" t="s">
        <v>47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>
        <f t="shared" si="0"/>
        <v>0</v>
      </c>
      <c r="M43" s="16"/>
      <c r="N43" s="16" t="s">
        <v>35</v>
      </c>
    </row>
    <row r="49" spans="1:5" ht="16.2">
      <c r="A49" s="28" t="s">
        <v>23</v>
      </c>
      <c r="B49" s="28" t="s">
        <v>126</v>
      </c>
      <c r="C49" s="28" t="s">
        <v>125</v>
      </c>
      <c r="D49" s="28" t="s">
        <v>127</v>
      </c>
      <c r="E49" s="28" t="s">
        <v>24</v>
      </c>
    </row>
    <row r="50" spans="1:5">
      <c r="A50" s="16" t="s">
        <v>105</v>
      </c>
      <c r="B50" s="16">
        <v>30</v>
      </c>
      <c r="C50" s="16">
        <v>9</v>
      </c>
      <c r="D50" s="29">
        <f>B50/C50</f>
        <v>3.3333333333333335</v>
      </c>
      <c r="E50" s="26" t="str">
        <f>IF(B50&gt;0,"In Stock","Out of Stock")</f>
        <v>In Stock</v>
      </c>
    </row>
    <row r="51" spans="1:5">
      <c r="A51" s="16" t="s">
        <v>106</v>
      </c>
      <c r="B51" s="16">
        <v>25</v>
      </c>
      <c r="C51" s="16">
        <v>5</v>
      </c>
      <c r="D51" s="29">
        <f t="shared" ref="D51:D69" si="1">B51/C51</f>
        <v>5</v>
      </c>
      <c r="E51" s="26" t="str">
        <f t="shared" ref="E51:E69" si="2">IF(B51&gt;0,"In Stock","Out of Stock")</f>
        <v>In Stock</v>
      </c>
    </row>
    <row r="52" spans="1:5">
      <c r="A52" s="16" t="s">
        <v>107</v>
      </c>
      <c r="B52" s="16">
        <v>23</v>
      </c>
      <c r="C52" s="16">
        <v>8</v>
      </c>
      <c r="D52" s="29">
        <f t="shared" si="1"/>
        <v>2.875</v>
      </c>
      <c r="E52" s="26" t="str">
        <f t="shared" si="2"/>
        <v>In Stock</v>
      </c>
    </row>
    <row r="53" spans="1:5">
      <c r="A53" s="16" t="s">
        <v>108</v>
      </c>
      <c r="B53" s="16">
        <v>24</v>
      </c>
      <c r="C53" s="16">
        <v>4</v>
      </c>
      <c r="D53" s="29">
        <f t="shared" si="1"/>
        <v>6</v>
      </c>
      <c r="E53" s="26" t="str">
        <f t="shared" si="2"/>
        <v>In Stock</v>
      </c>
    </row>
    <row r="54" spans="1:5">
      <c r="A54" s="16" t="s">
        <v>109</v>
      </c>
      <c r="B54" s="16">
        <v>19</v>
      </c>
      <c r="C54" s="16">
        <v>3</v>
      </c>
      <c r="D54" s="29">
        <f t="shared" si="1"/>
        <v>6.333333333333333</v>
      </c>
      <c r="E54" s="26" t="str">
        <f t="shared" si="2"/>
        <v>In Stock</v>
      </c>
    </row>
    <row r="55" spans="1:5">
      <c r="A55" s="16" t="s">
        <v>110</v>
      </c>
      <c r="B55" s="16">
        <v>19</v>
      </c>
      <c r="C55" s="16">
        <v>1</v>
      </c>
      <c r="D55" s="29">
        <f t="shared" si="1"/>
        <v>19</v>
      </c>
      <c r="E55" s="26" t="str">
        <f t="shared" si="2"/>
        <v>In Stock</v>
      </c>
    </row>
    <row r="56" spans="1:5">
      <c r="A56" s="16" t="s">
        <v>111</v>
      </c>
      <c r="B56" s="16">
        <v>18</v>
      </c>
      <c r="C56" s="16">
        <v>1</v>
      </c>
      <c r="D56" s="29">
        <f t="shared" si="1"/>
        <v>18</v>
      </c>
      <c r="E56" s="26" t="str">
        <f t="shared" si="2"/>
        <v>In Stock</v>
      </c>
    </row>
    <row r="57" spans="1:5">
      <c r="A57" s="16" t="s">
        <v>112</v>
      </c>
      <c r="B57" s="16">
        <v>18</v>
      </c>
      <c r="C57" s="16">
        <v>8</v>
      </c>
      <c r="D57" s="29">
        <f t="shared" si="1"/>
        <v>2.25</v>
      </c>
      <c r="E57" s="26" t="str">
        <f t="shared" si="2"/>
        <v>In Stock</v>
      </c>
    </row>
    <row r="58" spans="1:5">
      <c r="A58" s="16" t="s">
        <v>113</v>
      </c>
      <c r="B58" s="16">
        <v>6</v>
      </c>
      <c r="C58" s="16">
        <v>4</v>
      </c>
      <c r="D58" s="29">
        <f t="shared" si="1"/>
        <v>1.5</v>
      </c>
      <c r="E58" s="26" t="str">
        <f t="shared" si="2"/>
        <v>In Stock</v>
      </c>
    </row>
    <row r="59" spans="1:5">
      <c r="A59" s="16" t="s">
        <v>114</v>
      </c>
      <c r="B59" s="16">
        <v>6</v>
      </c>
      <c r="C59" s="16">
        <v>1</v>
      </c>
      <c r="D59" s="29">
        <f t="shared" si="1"/>
        <v>6</v>
      </c>
      <c r="E59" s="26" t="str">
        <f t="shared" si="2"/>
        <v>In Stock</v>
      </c>
    </row>
    <row r="60" spans="1:5">
      <c r="A60" s="16" t="s">
        <v>115</v>
      </c>
      <c r="B60" s="16">
        <v>6</v>
      </c>
      <c r="C60" s="16">
        <v>2</v>
      </c>
      <c r="D60" s="29">
        <f t="shared" si="1"/>
        <v>3</v>
      </c>
      <c r="E60" s="26" t="str">
        <f t="shared" si="2"/>
        <v>In Stock</v>
      </c>
    </row>
    <row r="61" spans="1:5">
      <c r="A61" s="16" t="s">
        <v>116</v>
      </c>
      <c r="B61" s="16">
        <v>4</v>
      </c>
      <c r="C61" s="16">
        <v>1</v>
      </c>
      <c r="D61" s="29">
        <f t="shared" si="1"/>
        <v>4</v>
      </c>
      <c r="E61" s="26" t="str">
        <f t="shared" si="2"/>
        <v>In Stock</v>
      </c>
    </row>
    <row r="62" spans="1:5">
      <c r="A62" s="16" t="s">
        <v>117</v>
      </c>
      <c r="B62" s="16">
        <v>0</v>
      </c>
      <c r="C62" s="16">
        <v>3</v>
      </c>
      <c r="D62" s="29">
        <f t="shared" si="1"/>
        <v>0</v>
      </c>
      <c r="E62" s="30" t="str">
        <f t="shared" si="2"/>
        <v>Out of Stock</v>
      </c>
    </row>
    <row r="63" spans="1:5">
      <c r="A63" s="16" t="s">
        <v>118</v>
      </c>
      <c r="B63" s="16">
        <v>5</v>
      </c>
      <c r="C63" s="16">
        <v>4</v>
      </c>
      <c r="D63" s="29">
        <f t="shared" si="1"/>
        <v>1.25</v>
      </c>
      <c r="E63" s="26" t="str">
        <f t="shared" si="2"/>
        <v>In Stock</v>
      </c>
    </row>
    <row r="64" spans="1:5">
      <c r="A64" s="16" t="s">
        <v>119</v>
      </c>
      <c r="B64" s="16">
        <v>8</v>
      </c>
      <c r="C64" s="16">
        <v>1</v>
      </c>
      <c r="D64" s="29">
        <f t="shared" si="1"/>
        <v>8</v>
      </c>
      <c r="E64" s="26" t="str">
        <f t="shared" si="2"/>
        <v>In Stock</v>
      </c>
    </row>
    <row r="65" spans="1:5">
      <c r="A65" s="16" t="s">
        <v>120</v>
      </c>
      <c r="B65" s="16">
        <v>10</v>
      </c>
      <c r="C65" s="16">
        <v>1</v>
      </c>
      <c r="D65" s="29">
        <f t="shared" si="1"/>
        <v>10</v>
      </c>
      <c r="E65" s="26" t="str">
        <f t="shared" si="2"/>
        <v>In Stock</v>
      </c>
    </row>
    <row r="66" spans="1:5">
      <c r="A66" s="16" t="s">
        <v>121</v>
      </c>
      <c r="B66" s="16">
        <v>6</v>
      </c>
      <c r="C66" s="16">
        <v>1</v>
      </c>
      <c r="D66" s="29">
        <f t="shared" si="1"/>
        <v>6</v>
      </c>
      <c r="E66" s="26" t="str">
        <f t="shared" si="2"/>
        <v>In Stock</v>
      </c>
    </row>
    <row r="67" spans="1:5">
      <c r="A67" s="16" t="s">
        <v>122</v>
      </c>
      <c r="B67" s="16">
        <v>5</v>
      </c>
      <c r="C67" s="16">
        <v>2</v>
      </c>
      <c r="D67" s="29">
        <f t="shared" si="1"/>
        <v>2.5</v>
      </c>
      <c r="E67" s="26" t="str">
        <f t="shared" si="2"/>
        <v>In Stock</v>
      </c>
    </row>
    <row r="68" spans="1:5">
      <c r="A68" s="16" t="s">
        <v>123</v>
      </c>
      <c r="B68" s="16">
        <v>0</v>
      </c>
      <c r="C68" s="16">
        <v>5</v>
      </c>
      <c r="D68" s="29">
        <f t="shared" si="1"/>
        <v>0</v>
      </c>
      <c r="E68" s="30" t="str">
        <f t="shared" si="2"/>
        <v>Out of Stock</v>
      </c>
    </row>
    <row r="69" spans="1:5">
      <c r="A69" s="16" t="s">
        <v>124</v>
      </c>
      <c r="B69" s="16">
        <v>12</v>
      </c>
      <c r="C69" s="16">
        <v>1</v>
      </c>
      <c r="D69" s="29">
        <f t="shared" si="1"/>
        <v>12</v>
      </c>
      <c r="E69" s="26" t="str">
        <f t="shared" si="2"/>
        <v>In Stock</v>
      </c>
    </row>
  </sheetData>
  <mergeCells count="11">
    <mergeCell ref="L2:N2"/>
    <mergeCell ref="A12:A13"/>
    <mergeCell ref="B12:F12"/>
    <mergeCell ref="G12:K12"/>
    <mergeCell ref="L12:N12"/>
    <mergeCell ref="A18:A19"/>
    <mergeCell ref="B18:D18"/>
    <mergeCell ref="E18:G18"/>
    <mergeCell ref="A2:A3"/>
    <mergeCell ref="B2:F2"/>
    <mergeCell ref="G2:K2"/>
  </mergeCells>
  <phoneticPr fontId="19" type="noConversion"/>
  <conditionalFormatting sqref="N23:N43">
    <cfRule type="cellIs" dxfId="2" priority="4" operator="equal">
      <formula>"Sufficient Inventory"</formula>
    </cfRule>
    <cfRule type="cellIs" dxfId="1" priority="5" operator="equal">
      <formula>"Incomplete Size Range"</formula>
    </cfRule>
    <cfRule type="cellIs" dxfId="0" priority="6" operator="equal">
      <formula>"No Allocation"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Transfer</vt:lpstr>
      <vt:lpstr>Inventory Turnover</vt:lpstr>
      <vt:lpstr>Product SKU Data</vt:lpstr>
      <vt:lpstr>People, Product &amp; Store 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Monkey</dc:creator>
  <cp:keywords/>
  <dc:description/>
  <cp:lastModifiedBy>DELL</cp:lastModifiedBy>
  <cp:revision/>
  <dcterms:created xsi:type="dcterms:W3CDTF">2020-01-01T12:22:53Z</dcterms:created>
  <dcterms:modified xsi:type="dcterms:W3CDTF">2021-02-06T02:25:43Z</dcterms:modified>
  <cp:category/>
  <cp:contentStatus/>
</cp:coreProperties>
</file>